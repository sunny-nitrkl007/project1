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orrek\Vagrant\projects\ssp-app_lps_weighing\lps\weighing\lps_weighing\src\GTest\"/>
    </mc:Choice>
  </mc:AlternateContent>
  <bookViews>
    <workbookView xWindow="0" yWindow="0" windowWidth="19200" windowHeight="11292" firstSheet="1" activeTab="4"/>
  </bookViews>
  <sheets>
    <sheet name="Diff_pressure_Test_Plan" sheetId="1" r:id="rId1"/>
    <sheet name="instanious-weight_Test plan" sheetId="2" r:id="rId2"/>
    <sheet name="Exp_Diff_press_Calc" sheetId="3" r:id="rId3"/>
    <sheet name="Exp_Instan.weight_calc" sheetId="5" r:id="rId4"/>
    <sheet name="Zero Adjust Test plan" sheetId="6" r:id="rId5"/>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3" l="1"/>
  <c r="W3" i="3"/>
  <c r="I3" i="5" l="1"/>
  <c r="I6" i="5"/>
  <c r="I7" i="5"/>
  <c r="I8" i="5"/>
  <c r="I9" i="5"/>
  <c r="I10" i="5"/>
  <c r="I11" i="5"/>
  <c r="I12" i="5"/>
  <c r="I15" i="5"/>
  <c r="I16" i="5"/>
  <c r="I23" i="5"/>
  <c r="I24" i="5"/>
  <c r="I25" i="5"/>
  <c r="H6" i="5"/>
  <c r="H7" i="5"/>
  <c r="H8" i="5"/>
  <c r="H9" i="5"/>
  <c r="H10" i="5"/>
  <c r="H11" i="5"/>
  <c r="H12" i="5"/>
  <c r="H13" i="5"/>
  <c r="H14" i="5"/>
  <c r="H15" i="5"/>
  <c r="H16" i="5"/>
  <c r="H17" i="5"/>
  <c r="H18" i="5"/>
  <c r="H19" i="5"/>
  <c r="H20" i="5"/>
  <c r="H21" i="5"/>
  <c r="H22" i="5"/>
  <c r="H23" i="5"/>
  <c r="H24" i="5"/>
  <c r="H25" i="5"/>
  <c r="A17" i="5"/>
  <c r="I17" i="5" s="1"/>
  <c r="A18" i="5"/>
  <c r="I18" i="5" s="1"/>
  <c r="A19" i="5"/>
  <c r="A20" i="5" s="1"/>
  <c r="A21" i="5" s="1"/>
  <c r="A22" i="5" s="1"/>
  <c r="I22" i="5" s="1"/>
  <c r="A16" i="5"/>
  <c r="A13" i="5"/>
  <c r="I13" i="5" s="1"/>
  <c r="A14" i="5"/>
  <c r="I14" i="5" s="1"/>
  <c r="A12" i="5"/>
  <c r="I5" i="5"/>
  <c r="H5" i="5"/>
  <c r="I4" i="5"/>
  <c r="H4" i="5"/>
  <c r="H3" i="5"/>
  <c r="I20" i="5" l="1"/>
  <c r="I19" i="5"/>
  <c r="I21" i="5"/>
  <c r="E53" i="3"/>
  <c r="D53" i="3"/>
  <c r="C43" i="3"/>
  <c r="C44" i="3" s="1"/>
  <c r="C45" i="3" s="1"/>
  <c r="C46" i="3" s="1"/>
  <c r="C47" i="3" s="1"/>
  <c r="B38" i="3"/>
  <c r="B39" i="3" s="1"/>
  <c r="B40" i="3" s="1"/>
  <c r="B41" i="3" s="1"/>
  <c r="B42" i="3" s="1"/>
  <c r="G14" i="3"/>
  <c r="G15" i="3" s="1"/>
  <c r="G16" i="3" s="1"/>
  <c r="G17" i="3" s="1"/>
  <c r="E9" i="3"/>
  <c r="E10" i="3" s="1"/>
  <c r="E11" i="3" s="1"/>
  <c r="E12" i="3" s="1"/>
  <c r="Z17" i="3" l="1"/>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Z10" i="3"/>
  <c r="Z11" i="3"/>
  <c r="Z12" i="3"/>
  <c r="Z13" i="3"/>
  <c r="Z14" i="3"/>
  <c r="Z15" i="3"/>
  <c r="Z16" i="3"/>
  <c r="Y10" i="3"/>
  <c r="Y11" i="3"/>
  <c r="Y12" i="3"/>
  <c r="Y13" i="3"/>
  <c r="Y14" i="3"/>
  <c r="Y15" i="3"/>
  <c r="Y16" i="3"/>
  <c r="X10" i="3"/>
  <c r="X11" i="3"/>
  <c r="X12" i="3"/>
  <c r="X13" i="3"/>
  <c r="X14" i="3"/>
  <c r="X15" i="3"/>
  <c r="X16" i="3"/>
  <c r="W10" i="3"/>
  <c r="W11" i="3"/>
  <c r="W12" i="3"/>
  <c r="W13" i="3"/>
  <c r="W14" i="3"/>
  <c r="W15" i="3"/>
  <c r="W16" i="3"/>
  <c r="C53" i="3"/>
  <c r="B53" i="3"/>
  <c r="Z5" i="3"/>
  <c r="Z6" i="3"/>
  <c r="Z7" i="3"/>
  <c r="Z8" i="3"/>
  <c r="Z9" i="3"/>
  <c r="Y5" i="3"/>
  <c r="Y6" i="3"/>
  <c r="Y7" i="3"/>
  <c r="Y8" i="3"/>
  <c r="Y9" i="3"/>
  <c r="X5" i="3"/>
  <c r="X6" i="3"/>
  <c r="X7" i="3"/>
  <c r="X8" i="3"/>
  <c r="X9" i="3"/>
  <c r="W5" i="3"/>
  <c r="W6" i="3"/>
  <c r="W7" i="3"/>
  <c r="W8" i="3"/>
  <c r="W9" i="3"/>
  <c r="W4" i="3"/>
  <c r="Z4" i="3"/>
  <c r="Y4" i="3"/>
  <c r="X4" i="3"/>
  <c r="Z3" i="3"/>
  <c r="Y3" i="3"/>
  <c r="P22" i="3"/>
  <c r="O22" i="3"/>
  <c r="P20" i="3"/>
  <c r="O53" i="3"/>
  <c r="O50" i="3"/>
  <c r="P38" i="3"/>
  <c r="P47" i="3"/>
  <c r="O52" i="3"/>
  <c r="O51" i="3"/>
  <c r="O40" i="3"/>
  <c r="P44" i="3"/>
  <c r="O35" i="3"/>
  <c r="O19" i="3"/>
  <c r="Q35" i="3"/>
  <c r="R22" i="3"/>
  <c r="P21" i="3"/>
  <c r="P36" i="3"/>
  <c r="O43" i="3"/>
  <c r="O36" i="3"/>
  <c r="Q43" i="3"/>
  <c r="P45" i="3"/>
  <c r="O44" i="3"/>
  <c r="O24" i="3"/>
  <c r="P49" i="3"/>
  <c r="O33" i="3"/>
  <c r="Q44" i="3"/>
  <c r="P24" i="3"/>
  <c r="P48" i="3"/>
  <c r="P18" i="3"/>
  <c r="O17" i="3"/>
  <c r="Q52" i="3"/>
  <c r="P29" i="3"/>
  <c r="P28" i="3"/>
  <c r="P37" i="3"/>
  <c r="O34" i="3"/>
  <c r="P53" i="3"/>
  <c r="O18" i="3"/>
  <c r="P46" i="3"/>
  <c r="O25" i="3"/>
  <c r="P41" i="3"/>
  <c r="O26" i="3"/>
  <c r="P27" i="3"/>
  <c r="P19" i="3"/>
  <c r="O45" i="3"/>
  <c r="P25" i="3"/>
  <c r="P51" i="3"/>
  <c r="Q19" i="3"/>
  <c r="O30" i="3"/>
  <c r="Q30" i="3" s="1"/>
  <c r="P17" i="3"/>
  <c r="R18" i="3"/>
  <c r="P30" i="3"/>
  <c r="O20" i="3"/>
  <c r="O28" i="3"/>
  <c r="Q28" i="3" s="1"/>
  <c r="Q26" i="3"/>
  <c r="P34" i="3"/>
  <c r="P52" i="3"/>
  <c r="P40" i="3"/>
  <c r="P23" i="3"/>
  <c r="P39" i="3"/>
  <c r="O39" i="3"/>
  <c r="Q39" i="3" s="1"/>
  <c r="P32" i="3"/>
  <c r="P33" i="3"/>
  <c r="O23" i="3"/>
  <c r="O48" i="3"/>
  <c r="Q53" i="3"/>
  <c r="O21" i="3"/>
  <c r="P43" i="3"/>
  <c r="P35" i="3"/>
  <c r="O27" i="3"/>
  <c r="Q27" i="3" s="1"/>
  <c r="P50" i="3"/>
  <c r="Q22" i="3"/>
  <c r="O29" i="3"/>
  <c r="Q40" i="3"/>
  <c r="R23" i="3"/>
  <c r="O31" i="3"/>
  <c r="P42" i="3"/>
  <c r="P31" i="3"/>
  <c r="R52" i="3"/>
  <c r="R44" i="3"/>
  <c r="O32" i="3"/>
  <c r="Q32" i="3" s="1"/>
  <c r="O46" i="3"/>
  <c r="Q46" i="3" s="1"/>
  <c r="P26" i="3"/>
  <c r="R26" i="3" s="1"/>
  <c r="Q50" i="3"/>
  <c r="O42" i="3"/>
  <c r="Q42" i="3" s="1"/>
  <c r="O49" i="3"/>
  <c r="Q49" i="3" s="1"/>
  <c r="O47" i="3"/>
  <c r="R47" i="3" s="1"/>
  <c r="Q48" i="3"/>
  <c r="O37" i="3"/>
  <c r="Q37" i="3" s="1"/>
  <c r="O41" i="3"/>
  <c r="Q41" i="3" s="1"/>
  <c r="Q29" i="3"/>
  <c r="Q23" i="3"/>
  <c r="O38" i="3"/>
  <c r="Q38" i="3" s="1"/>
  <c r="R34" i="3"/>
  <c r="Q34" i="3"/>
  <c r="S50" i="3" l="1"/>
  <c r="AA50" i="3" s="1"/>
  <c r="S42" i="3"/>
  <c r="AA42" i="3" s="1"/>
  <c r="S34" i="3"/>
  <c r="AA34" i="3" s="1"/>
  <c r="S26" i="3"/>
  <c r="AA26" i="3" s="1"/>
  <c r="S49" i="3"/>
  <c r="AA49" i="3" s="1"/>
  <c r="S41" i="3"/>
  <c r="AA41" i="3" s="1"/>
  <c r="S52" i="3"/>
  <c r="AA52" i="3" s="1"/>
  <c r="S48" i="3"/>
  <c r="AA48" i="3" s="1"/>
  <c r="S44" i="3"/>
  <c r="AA44" i="3" s="1"/>
  <c r="S40" i="3"/>
  <c r="AA40" i="3" s="1"/>
  <c r="S32" i="3"/>
  <c r="AA32" i="3" s="1"/>
  <c r="S28" i="3"/>
  <c r="AA28" i="3" s="1"/>
  <c r="S46" i="3"/>
  <c r="AA46" i="3" s="1"/>
  <c r="S38" i="3"/>
  <c r="AA38" i="3" s="1"/>
  <c r="S30" i="3"/>
  <c r="AA30" i="3" s="1"/>
  <c r="S22" i="3"/>
  <c r="AA22" i="3" s="1"/>
  <c r="S53" i="3"/>
  <c r="AA53" i="3" s="1"/>
  <c r="S37" i="3"/>
  <c r="AA37" i="3" s="1"/>
  <c r="S29" i="3"/>
  <c r="AA29" i="3" s="1"/>
  <c r="S43" i="3"/>
  <c r="AA43" i="3" s="1"/>
  <c r="S39" i="3"/>
  <c r="AA39" i="3" s="1"/>
  <c r="S35" i="3"/>
  <c r="AA35" i="3" s="1"/>
  <c r="S27" i="3"/>
  <c r="AA27" i="3" s="1"/>
  <c r="S23" i="3"/>
  <c r="AA23" i="3" s="1"/>
  <c r="S19" i="3"/>
  <c r="AA19" i="3" s="1"/>
  <c r="Q31" i="3"/>
  <c r="R20" i="3"/>
  <c r="R33" i="3"/>
  <c r="R36" i="3"/>
  <c r="R29" i="3"/>
  <c r="R17" i="3"/>
  <c r="R49" i="3"/>
  <c r="Q51" i="3"/>
  <c r="R30" i="3"/>
  <c r="O10" i="3"/>
  <c r="R51" i="3"/>
  <c r="R28" i="3"/>
  <c r="O12" i="3"/>
  <c r="R25" i="3"/>
  <c r="R27" i="3"/>
  <c r="P6" i="3"/>
  <c r="R40" i="3"/>
  <c r="P3" i="3"/>
  <c r="R24" i="3"/>
  <c r="O14" i="3"/>
  <c r="Q20" i="3"/>
  <c r="R46" i="3"/>
  <c r="Q36" i="3"/>
  <c r="R50" i="3"/>
  <c r="Q45" i="3"/>
  <c r="Q24" i="3"/>
  <c r="R38" i="3"/>
  <c r="P11" i="3"/>
  <c r="R32" i="3"/>
  <c r="Q47" i="3"/>
  <c r="P15" i="3"/>
  <c r="Q17" i="3"/>
  <c r="R35" i="3"/>
  <c r="O16" i="3"/>
  <c r="R53" i="3"/>
  <c r="R48" i="3"/>
  <c r="P5" i="3"/>
  <c r="P14" i="3"/>
  <c r="R14" i="3" s="1"/>
  <c r="Q33" i="3"/>
  <c r="R42" i="3"/>
  <c r="R37" i="3"/>
  <c r="R31" i="3"/>
  <c r="P9" i="3"/>
  <c r="R39" i="3"/>
  <c r="P13" i="3"/>
  <c r="O15" i="3"/>
  <c r="Q15" i="3" s="1"/>
  <c r="P10" i="3"/>
  <c r="Q21" i="3"/>
  <c r="Q25" i="3"/>
  <c r="R45" i="3"/>
  <c r="R41" i="3"/>
  <c r="P16" i="3"/>
  <c r="R16" i="3" s="1"/>
  <c r="R43" i="3"/>
  <c r="O11" i="3"/>
  <c r="R21" i="3"/>
  <c r="P12" i="3"/>
  <c r="P7" i="3"/>
  <c r="Q10" i="3"/>
  <c r="R19" i="3"/>
  <c r="O13" i="3"/>
  <c r="Q13" i="3" s="1"/>
  <c r="P8" i="3"/>
  <c r="P4" i="3"/>
  <c r="Q18" i="3"/>
  <c r="Q14" i="3"/>
  <c r="Q11" i="3"/>
  <c r="R11" i="3"/>
  <c r="S25" i="3" l="1"/>
  <c r="AA25" i="3" s="1"/>
  <c r="S21" i="3"/>
  <c r="AA21" i="3" s="1"/>
  <c r="S24" i="3"/>
  <c r="AA24" i="3" s="1"/>
  <c r="S45" i="3"/>
  <c r="AA45" i="3" s="1"/>
  <c r="S51" i="3"/>
  <c r="AA51" i="3" s="1"/>
  <c r="S31" i="3"/>
  <c r="AA31" i="3" s="1"/>
  <c r="S18" i="3"/>
  <c r="AA18" i="3" s="1"/>
  <c r="S33" i="3"/>
  <c r="AA33" i="3" s="1"/>
  <c r="S20" i="3"/>
  <c r="AA20" i="3" s="1"/>
  <c r="S36" i="3"/>
  <c r="AA36" i="3" s="1"/>
  <c r="S47" i="3"/>
  <c r="AA47" i="3" s="1"/>
  <c r="S17" i="3"/>
  <c r="S15" i="3"/>
  <c r="AA15" i="3" s="1"/>
  <c r="S11" i="3"/>
  <c r="AA11" i="3" s="1"/>
  <c r="S14" i="3"/>
  <c r="AA14" i="3" s="1"/>
  <c r="S10" i="3"/>
  <c r="AA10" i="3" s="1"/>
  <c r="S13" i="3"/>
  <c r="AA13" i="3" s="1"/>
  <c r="T19" i="3"/>
  <c r="AB19" i="3" s="1"/>
  <c r="T27" i="3"/>
  <c r="AB27" i="3" s="1"/>
  <c r="T35" i="3"/>
  <c r="AB35" i="3" s="1"/>
  <c r="T43" i="3"/>
  <c r="AB43" i="3" s="1"/>
  <c r="T51" i="3"/>
  <c r="AB51" i="3" s="1"/>
  <c r="T37" i="3"/>
  <c r="AB37" i="3" s="1"/>
  <c r="T53" i="3"/>
  <c r="AB53" i="3" s="1"/>
  <c r="T30" i="3"/>
  <c r="AB30" i="3" s="1"/>
  <c r="T46" i="3"/>
  <c r="AB46" i="3" s="1"/>
  <c r="T24" i="3"/>
  <c r="AB24" i="3" s="1"/>
  <c r="T32" i="3"/>
  <c r="AB32" i="3" s="1"/>
  <c r="T40" i="3"/>
  <c r="AB40" i="3" s="1"/>
  <c r="T48" i="3"/>
  <c r="AB48" i="3" s="1"/>
  <c r="T21" i="3"/>
  <c r="AB21" i="3" s="1"/>
  <c r="T41" i="3"/>
  <c r="AB41" i="3" s="1"/>
  <c r="T26" i="3"/>
  <c r="AB26" i="3" s="1"/>
  <c r="T42" i="3"/>
  <c r="AB42" i="3" s="1"/>
  <c r="T23" i="3"/>
  <c r="AB23" i="3" s="1"/>
  <c r="T31" i="3"/>
  <c r="AB31" i="3" s="1"/>
  <c r="T39" i="3"/>
  <c r="AB39" i="3" s="1"/>
  <c r="T29" i="3"/>
  <c r="AB29" i="3" s="1"/>
  <c r="T45" i="3"/>
  <c r="AB45" i="3" s="1"/>
  <c r="T22" i="3"/>
  <c r="AB22" i="3" s="1"/>
  <c r="T38" i="3"/>
  <c r="AB38" i="3" s="1"/>
  <c r="T28" i="3"/>
  <c r="AB28" i="3" s="1"/>
  <c r="T36" i="3"/>
  <c r="AB36" i="3" s="1"/>
  <c r="T44" i="3"/>
  <c r="AB44" i="3" s="1"/>
  <c r="T52" i="3"/>
  <c r="AB52" i="3" s="1"/>
  <c r="T49" i="3"/>
  <c r="AB49" i="3" s="1"/>
  <c r="T34" i="3"/>
  <c r="AB34" i="3" s="1"/>
  <c r="T50" i="3"/>
  <c r="AB50" i="3" s="1"/>
  <c r="D4" i="3"/>
  <c r="D5" i="3" s="1"/>
  <c r="D6" i="3" s="1"/>
  <c r="D7" i="3" s="1"/>
  <c r="R12" i="3"/>
  <c r="AC51" i="3"/>
  <c r="AC46" i="3"/>
  <c r="AC50" i="3"/>
  <c r="R15" i="3"/>
  <c r="O3" i="3"/>
  <c r="AC32" i="3"/>
  <c r="R10" i="3"/>
  <c r="Q12" i="3"/>
  <c r="O9" i="3"/>
  <c r="O7" i="3"/>
  <c r="AC26" i="3"/>
  <c r="AC31" i="3"/>
  <c r="AC40" i="3"/>
  <c r="AC34" i="3"/>
  <c r="AC52" i="3"/>
  <c r="AC48" i="3"/>
  <c r="AC37" i="3"/>
  <c r="AC49" i="3"/>
  <c r="R13" i="3"/>
  <c r="Q16" i="3"/>
  <c r="O5" i="3"/>
  <c r="AC43" i="3"/>
  <c r="AC23" i="3"/>
  <c r="AC42" i="3"/>
  <c r="AC28" i="3"/>
  <c r="AC41" i="3"/>
  <c r="AC39" i="3"/>
  <c r="AC44" i="3"/>
  <c r="AC29" i="3"/>
  <c r="O6" i="3"/>
  <c r="O8" i="3"/>
  <c r="AC30" i="3"/>
  <c r="AC27" i="3"/>
  <c r="AC21" i="3"/>
  <c r="AC45" i="3"/>
  <c r="AC24" i="3"/>
  <c r="AC22" i="3"/>
  <c r="AC35" i="3"/>
  <c r="O4" i="3"/>
  <c r="AC36" i="3"/>
  <c r="AC38" i="3"/>
  <c r="AC53" i="3"/>
  <c r="AC19" i="3"/>
  <c r="T25" i="3" l="1"/>
  <c r="AB25" i="3" s="1"/>
  <c r="T47" i="3"/>
  <c r="AB47" i="3" s="1"/>
  <c r="S16" i="3"/>
  <c r="AA16" i="3" s="1"/>
  <c r="T18" i="3"/>
  <c r="AB18" i="3" s="1"/>
  <c r="T33" i="3"/>
  <c r="AB33" i="3" s="1"/>
  <c r="S12" i="3"/>
  <c r="AA12" i="3" s="1"/>
  <c r="T20" i="3"/>
  <c r="AB20" i="3" s="1"/>
  <c r="AA17" i="3"/>
  <c r="T17" i="3"/>
  <c r="AB17" i="3" s="1"/>
  <c r="T10" i="3"/>
  <c r="AB10" i="3" s="1"/>
  <c r="AD34" i="3"/>
  <c r="AD52" i="3"/>
  <c r="AD22" i="3"/>
  <c r="AD32" i="3"/>
  <c r="AD46" i="3"/>
  <c r="AD37" i="3"/>
  <c r="AD27" i="3"/>
  <c r="AD39" i="3"/>
  <c r="AD42" i="3"/>
  <c r="AD41" i="3"/>
  <c r="AD24" i="3"/>
  <c r="AD30" i="3"/>
  <c r="AD51" i="3"/>
  <c r="AD19" i="3"/>
  <c r="AD36" i="3"/>
  <c r="AD45" i="3"/>
  <c r="AD31" i="3"/>
  <c r="AD26" i="3"/>
  <c r="AD21" i="3"/>
  <c r="AD48" i="3"/>
  <c r="AD43" i="3"/>
  <c r="AD44" i="3"/>
  <c r="AD50" i="3"/>
  <c r="AD49" i="3"/>
  <c r="AD28" i="3"/>
  <c r="AD38" i="3"/>
  <c r="AD29" i="3"/>
  <c r="AD23" i="3"/>
  <c r="AD40" i="3"/>
  <c r="AD53" i="3"/>
  <c r="AD35" i="3"/>
  <c r="T11" i="3"/>
  <c r="AB11" i="3" s="1"/>
  <c r="T13" i="3"/>
  <c r="AB13" i="3" s="1"/>
  <c r="T14" i="3"/>
  <c r="AB14" i="3" s="1"/>
  <c r="T15" i="3"/>
  <c r="AB15" i="3" s="1"/>
  <c r="T16" i="3"/>
  <c r="AB16" i="3" s="1"/>
  <c r="R6" i="3"/>
  <c r="R8" i="3"/>
  <c r="AC16" i="3"/>
  <c r="AC11" i="3"/>
  <c r="AC25" i="3"/>
  <c r="Q7" i="3"/>
  <c r="R4" i="3"/>
  <c r="Q9" i="3"/>
  <c r="Q6" i="3"/>
  <c r="R5" i="3"/>
  <c r="AC20" i="3"/>
  <c r="AC18" i="3"/>
  <c r="AC10" i="3"/>
  <c r="AC13" i="3"/>
  <c r="Q4" i="3"/>
  <c r="R9" i="3"/>
  <c r="AC14" i="3"/>
  <c r="AC17" i="3"/>
  <c r="AC15" i="3"/>
  <c r="Q5" i="3"/>
  <c r="Q3" i="3"/>
  <c r="AC47" i="3"/>
  <c r="Q8" i="3"/>
  <c r="R7" i="3"/>
  <c r="AC33" i="3"/>
  <c r="AD25" i="3" l="1"/>
  <c r="AD47" i="3"/>
  <c r="T12" i="3"/>
  <c r="AB12" i="3" s="1"/>
  <c r="AD18" i="3"/>
  <c r="S7" i="3"/>
  <c r="AA7" i="3" s="1"/>
  <c r="AD33" i="3"/>
  <c r="S9" i="3"/>
  <c r="AA9" i="3" s="1"/>
  <c r="S6" i="3"/>
  <c r="AA6" i="3" s="1"/>
  <c r="S8" i="3"/>
  <c r="AA8" i="3" s="1"/>
  <c r="AD20" i="3"/>
  <c r="AD17" i="3"/>
  <c r="AD10" i="3"/>
  <c r="AD11" i="3"/>
  <c r="AD16" i="3"/>
  <c r="AD15" i="3"/>
  <c r="AD14" i="3"/>
  <c r="AD13" i="3"/>
  <c r="S5" i="3"/>
  <c r="S4" i="3"/>
  <c r="T6" i="3"/>
  <c r="AB6" i="3" s="1"/>
  <c r="S3" i="3"/>
  <c r="AA3" i="3" s="1"/>
  <c r="AC12" i="3"/>
  <c r="R3" i="3"/>
  <c r="AC6" i="3"/>
  <c r="AD12" i="3" l="1"/>
  <c r="T9" i="3"/>
  <c r="AB9" i="3" s="1"/>
  <c r="T8" i="3"/>
  <c r="AB8" i="3" s="1"/>
  <c r="T7" i="3"/>
  <c r="AB7" i="3" s="1"/>
  <c r="AD6" i="3"/>
  <c r="T4" i="3"/>
  <c r="AB4" i="3" s="1"/>
  <c r="AA4" i="3"/>
  <c r="T5" i="3"/>
  <c r="AB5" i="3" s="1"/>
  <c r="AA5" i="3"/>
  <c r="T3" i="3"/>
  <c r="AB3" i="3" s="1"/>
  <c r="AC9" i="3"/>
  <c r="AC7" i="3"/>
  <c r="AC3" i="3"/>
  <c r="AC4" i="3"/>
  <c r="AC8" i="3"/>
  <c r="AC5" i="3"/>
  <c r="AD9" i="3" l="1"/>
  <c r="AD7" i="3"/>
  <c r="AD8" i="3"/>
  <c r="AD3" i="3"/>
  <c r="AD4" i="3"/>
  <c r="AD5" i="3"/>
</calcChain>
</file>

<file path=xl/sharedStrings.xml><?xml version="1.0" encoding="utf-8"?>
<sst xmlns="http://schemas.openxmlformats.org/spreadsheetml/2006/main" count="352" uniqueCount="174">
  <si>
    <t>Test Case Number</t>
  </si>
  <si>
    <t>Test Case Conditions</t>
  </si>
  <si>
    <t>Test Actions</t>
  </si>
  <si>
    <t>Expected Behavior</t>
  </si>
  <si>
    <t>Actual Behavior</t>
  </si>
  <si>
    <t>Test Result</t>
  </si>
  <si>
    <t>Remarks</t>
  </si>
  <si>
    <t>viscosity</t>
  </si>
  <si>
    <t>density</t>
  </si>
  <si>
    <t>No of 
cylinders</t>
  </si>
  <si>
    <t>cylinder bore 
diameter</t>
  </si>
  <si>
    <t>cylinder rod 
diameter</t>
  </si>
  <si>
    <t>Head End 
 pressure</t>
  </si>
  <si>
    <t>Rod End 
pressure</t>
  </si>
  <si>
    <t>cylinder position
(extionsion)</t>
  </si>
  <si>
    <t>cylinder
 velosity</t>
  </si>
  <si>
    <t>Hydralic oil 
Temperature</t>
  </si>
  <si>
    <t>Lift cylinder Head end line loss
2nd order coefficient</t>
  </si>
  <si>
    <t>Lift cylinder Head end line loss
1st order coefficient</t>
  </si>
  <si>
    <t>Lift cylinder Rod end line loss
2nd order coefficient</t>
  </si>
  <si>
    <t>Lift cylinder Rod end line loss
1st order coefficient</t>
  </si>
  <si>
    <t>Hydralic oil  type (0-SE-20/1-SE-10)</t>
  </si>
  <si>
    <t>cylinder
 bore Area</t>
  </si>
  <si>
    <t>cylinder Rod
 area</t>
  </si>
  <si>
    <t>Head end flow
 constant</t>
  </si>
  <si>
    <t>Rod end  to
 Head end
  flow Ratio</t>
  </si>
  <si>
    <t>Head end
 oil flow</t>
  </si>
  <si>
    <t>Rod end 
 oil flow</t>
  </si>
  <si>
    <t>Head end oil flow
 squared
 coefficient</t>
  </si>
  <si>
    <t>Head end oil flow
coefficient</t>
  </si>
  <si>
    <t>Rod end oil flow
 squared
 coefficient</t>
  </si>
  <si>
    <t>Rod end oil flow
coefficient</t>
  </si>
  <si>
    <t>lift cylinder Head end pressure</t>
  </si>
  <si>
    <t>lift cylinder Rod end pressure</t>
  </si>
  <si>
    <t>lift cyl Rod end press-final(after eliminationof Rod Area)</t>
  </si>
  <si>
    <t>Expected-difference-
pressure</t>
  </si>
  <si>
    <t>INPUT DATA</t>
  </si>
  <si>
    <t>OUTPUT DATA</t>
  </si>
  <si>
    <t>Expexted weight</t>
  </si>
  <si>
    <t>Head end Pressure</t>
  </si>
  <si>
    <t>Rod end Pressure</t>
  </si>
  <si>
    <t>Calib data for weigh range position
(Head end -Rod end)</t>
  </si>
  <si>
    <t>Calib data for weigh range position
Full Bucket )</t>
  </si>
  <si>
    <t>Calib data for weigh range position
(Empty Bucket)</t>
  </si>
  <si>
    <t>Exp Head Pressure</t>
  </si>
  <si>
    <t>Exp-weight-varience</t>
  </si>
  <si>
    <t>compare if the Instantaneous Weight output value match with expected data from "[sheet name  :"Exp_Instan.weight_calc"]</t>
  </si>
  <si>
    <t>The Instantaneous Weight output value should be same as   "[sheet name  :"Exp_Instan.weight_calc"]</t>
  </si>
  <si>
    <t>a.set Expected weight as 30</t>
  </si>
  <si>
    <t>I.Set Default Values
A.Machine Speciifc Data
a.Set No of Lift cylinders as 2
b. Set cylinder bore diameter as 140 mm
c.Set cylinder rod diameter as 85
d.Set Hydraulic oil type as SAE-10 
e.Set Hydraulic oil Lift cylinder Head End LineLoss 2nd Order Coefficient as 0
f.Set Hydraulic oil Lift cylinder Head End LineLoss 1st Order Coefficient as 0
g.Set Hydraulic oil Lift cylinder Rod End LineLoss 2nd Order Coefficient as 0
h.Set Hydraulic oil Lift cylinder Rod End LineLoss 1st Order Coefficient as 0
B.Raw Input Data
a.Set  Lift cylinder Head End sensor pressure value as 6000 kpa and status as "OK"
b.Set Lift cylinder Rod End sensor pressure value as 3000 kpa and status as "OK" 
c.Set Lift cylinder extension percentage as 40 and status as "OK"
d.Set Lift cylinder velocity as 40 mm/sec and status as "OK"
e.Set Hydraulic oil temperature as 50 Celsius and status as "OK"</t>
  </si>
  <si>
    <t>pressure value value shoud be 0</t>
  </si>
  <si>
    <t>"LPS INIT" has to fail with LPS_INIT_CONFIG_ERROR error code</t>
  </si>
  <si>
    <t>"LPS INIT" has to fail with LPS_INIT_DISABLED error code</t>
  </si>
  <si>
    <t>"LPS update" has to fail with LPS_UPDT_INPUT_ERROR error code</t>
  </si>
  <si>
    <t>"LPS update" has to fail with LPS_UPDT_NOT_INIT error code</t>
  </si>
  <si>
    <t>"LPS update"  status should be fail with LPS_UPDT_FAIL error code</t>
  </si>
  <si>
    <t>Check the status of LPS update</t>
  </si>
  <si>
    <t>Check the difference pressure value</t>
  </si>
  <si>
    <t>Check the status of LPS Init</t>
  </si>
  <si>
    <t>Check the value  of LPS work table</t>
  </si>
  <si>
    <t>LPS work table value should be 0</t>
  </si>
  <si>
    <t>Check the value  of LPS init  table</t>
  </si>
  <si>
    <t>LPS init  table value should not be 0 or NULL</t>
  </si>
  <si>
    <t>NOTE: case 51 to 58 for negative test cases</t>
  </si>
  <si>
    <t>NOTE :Same as Test Case #1 ,except:
a.set Set  Lift cylinder Head End sensor pressure value as 6100 kpa</t>
  </si>
  <si>
    <t>NOTE :Same as Test Case #1 ,except:
a.set Set  Lift cylinder Head End sensor pressure value as 6200 kpa</t>
  </si>
  <si>
    <t>NOTE :Same as Test Case #1 ,except:
a.set Set  Lift cylinder Head End sensor pressure value as 6300 kpa</t>
  </si>
  <si>
    <t>NOTE :Same as Test Case #1 ,except:
a.set Set  Lift cylinder Head End sensor pressure value as 6400 kpa</t>
  </si>
  <si>
    <t>NOTE :Same as Test Case #1 ,except:
a.Set Lift cylinder Rod End sensor pressure value as 3100 kpa</t>
  </si>
  <si>
    <t>NOTE :Same as Test Case #1 ,except:
a.Set Lift cylinder Rod End sensor pressure value as 3200 kpa</t>
  </si>
  <si>
    <t>NOTE :Same as Test Case #1 ,except:
a.Set Lift cylinder Rod End sensor pressure value as 3300 kpa</t>
  </si>
  <si>
    <t>NOTE :Same as Test Case #1 ,except:
a.Set Lift cylinder Rod End sensor pressure value as 3400 kpa</t>
  </si>
  <si>
    <t>NOTE :Same as Test Case #1 ,except:
a.Set Lift cylinder Rod End sensor pressure value as 3500 kpa</t>
  </si>
  <si>
    <t>NOTE :Same as Test Case #1 ,except:
a.Set Lift cylinder velocity as 51 mm/sec</t>
  </si>
  <si>
    <t>NOTE :Same as Test Case #1 ,except:
a.Set Lift cylinder velocity as 52 mm/sec</t>
  </si>
  <si>
    <t>NOTE :Same as Test Case #1 ,except:
a.Set Lift cylinder velocity as 53 mm/sec</t>
  </si>
  <si>
    <t>NOTE :Same as Test Case #1 ,except:
a.Set Lift cylinder velocity as 54 mm/sec</t>
  </si>
  <si>
    <t>NOTE :Same as Test Case #1 ,except:
a.Set Lift cylinder velocity as 55 mm/sec</t>
  </si>
  <si>
    <t>NOTE :Same as Test Case #1 ,except:
a.Set Hydraulic oil temperature as -20 Celsius</t>
  </si>
  <si>
    <t>NOTE :Same as Test Case #1 ,except:
a.Set Hydraulic oil temperature as 0 Celsius</t>
  </si>
  <si>
    <t>NOTE :Same as Test Case #1 ,except:
a.Set Hydraulic oil temperature as 20 Celsius</t>
  </si>
  <si>
    <t>NOTE :Same as Test Case #1 ,except:
a.Set Hydraulic oil temperature as 30 Celsius</t>
  </si>
  <si>
    <t>NOTE :Same as Test Case #1 ,except:
a.Set Hydraulic oil temperature as 40 Celsius</t>
  </si>
  <si>
    <t>NOTE :Same as Test Case #1 ,except:
a.Set Hydraulic oil Lift cylinder Head End LineLoss 2nd Order Coefficient as 1</t>
  </si>
  <si>
    <t>NOTE :Same as Test Case #1 ,except:
a.Set Hydraulic oil Lift cylinder Head End LineLoss 1st Order Coefficient as 1</t>
  </si>
  <si>
    <t>NOTE :Same as Test Case #1 ,except:
a.Set Hydraulic oil Lift cylinder Rod End LineLoss 2nd Order Coefficient as 1</t>
  </si>
  <si>
    <t>NOTE :Same as Test Case #1 ,except:
a.Set Hydraulic oil Lift cylinder Rod End LineLoss 1st Order Coefficient as 1</t>
  </si>
  <si>
    <t>NOTE :Same as Test Case #1 ,except:
a.Set Hydraulic oil Lift cylinder Head End LineLoss 2nd Order Coefficient as 1
b.Set Hydraulic oil Lift cylinder Head End LineLoss 1st Order Coefficient as 1</t>
  </si>
  <si>
    <t>NOTE :Same as Test Case #1 ,except:
a.Set Hydraulic oil Lift cylinder Head End LineLoss 1st Order Coefficient as 1
b.Set Hydraulic oil Lift cylinder Rod End LineLoss 2nd Order Coefficient as 1</t>
  </si>
  <si>
    <t>NOTE :Same as Test Case #1 ,except:
a.Set Hydraulic oil Lift cylinder Rod End LineLoss 2nd Order Coefficient as 1
b.Set Hydraulic oil Lift cylinder Rod End LineLoss 1st Order Coefficient as 1</t>
  </si>
  <si>
    <t>NOTE :Same as Test Case #1 ,except:
a.Set Hydraulic oil Lift cylinder Head End LineLoss 2nd Order Coefficient as 1
b.Set Hydraulic oil Lift cylinder Head End LineLoss 1st Order Coefficient as 1
c.Set Hydraulic oil Lift cylinder Rod End LineLoss 2nd Order Coefficient as 1</t>
  </si>
  <si>
    <t>NOTE :Same as Test Case #1 ,except:
a.Set Hydraulic oil Lift cylinder Head End LineLoss 1st Order Coefficient as 2
b.Set Hydraulic oil Lift cylinder Rod End LineLoss 2nd Order Coefficient as 3
c.Set Hydraulic oil Lift cylinder Rod End LineLoss 1st Order Coefficient as 1</t>
  </si>
  <si>
    <t>NOTE :Same as Test Case #1 ,except:
a.Set Hydraulic oil Lift cylinder Head End LineLoss 2nd Order Coefficient as 4
b.Set Hydraulic oil Lift cylinder Head End LineLoss 1st Order Coefficient as 2
c.Set Hydraulic oil Lift cylinder Rod End LineLoss 2nd Order Coefficient as 3
d.Set Hydraulic oil Lift cylinder Rod End LineLoss 1st Order Coefficient as 1</t>
  </si>
  <si>
    <t xml:space="preserve">NOTE :Same as Test Case #1 ,except:
a.Set Hydraulic oil type as SAE-20 </t>
  </si>
  <si>
    <t>NOTE :Same as Test Case #1 ,except:
a.Set Hydraulic oil Lift cylinder Head End LineLoss 2nd Order Coefficient as 0</t>
  </si>
  <si>
    <t>NOTE :Same as Test Case #1 ,except:
a.Set Hydraulic oil Lift cylinder Head End LineLoss 1st Order Coefficient as 0</t>
  </si>
  <si>
    <t>NOTE :Same as Test Case #1 ,except:
a.Set Hydraulic oil Lift cylinder Rod End LineLoss 2nd Order Coefficient as 0</t>
  </si>
  <si>
    <t>NOTE :Same as Test Case #1 ,except:
a.Set Hydraulic oil Lift cylinder Rod End LineLoss 1st Order Coefficient as 0</t>
  </si>
  <si>
    <t>NOTE :Same as Test Case #1 ,except:
a. Set cylinder bore diameter as 146 mm</t>
  </si>
  <si>
    <t>NOTE :Same as Test Case #1 ,except:
a. Set cylinder bore diameter as 152 mm</t>
  </si>
  <si>
    <t>NOTE :Same as Test Case #1 ,except:
a. Set cylinder bore diameter as 158 mm</t>
  </si>
  <si>
    <t>NOTE :Same as Test Case #1 ,except:
a. Set cylinder bore diameter as 164 mm</t>
  </si>
  <si>
    <t>NOTE :Same as Test Case #1 ,except:
a. Set cylinder bore diameter as 170 mm</t>
  </si>
  <si>
    <t>NOTE :Same as Test Case #1 ,except:
a. Set cylinder rod diameter as 88 mm</t>
  </si>
  <si>
    <t>NOTE :Same as Test Case #1 ,except:
a. Set cylinder rod diameter as 91 mm</t>
  </si>
  <si>
    <t>NOTE :Same as Test Case #1 ,except:
a. Set cylinder rod diameter as 94 mm</t>
  </si>
  <si>
    <t>NOTE :Same as Test Case #1 ,except:
a. Set cylinder rod diameter as 97 mm</t>
  </si>
  <si>
    <t>NOTE :Same as Test Case #1 ,except:
a. Set cylinder rod diameter as 100 mm</t>
  </si>
  <si>
    <t>NOTE :Same as Test Case #1 ,except:
a.Set Lift cylinder extension percentage as 50</t>
  </si>
  <si>
    <t>NOTE :Same as Test Case #1 ,except:
a.Set Lift cylinder extension percentage as 60</t>
  </si>
  <si>
    <t>NOTE :Same as Test Case #1 ,except:
a.Set Lift cylinder extension percentage as 70</t>
  </si>
  <si>
    <t>NOTE :Same as Test Case #1 ,except:
a.Set Lift cylinder extension percentage as 80</t>
  </si>
  <si>
    <t>NOTE :Same as Test Case #1 ,except:
a.Set Lift cylinder extension percentage as 90</t>
  </si>
  <si>
    <t>NOTE :Same as Test Case #1 ,except:
a.set "LPS is installed on the machine" value  as FALSE</t>
  </si>
  <si>
    <t>NOTE :Same as Test Case #1 ,except:
a.set LPS configuration value as NULL</t>
  </si>
  <si>
    <t>NOTE :Same as Test Case #1 ,except:
a.set LPS INIT status as FAIL</t>
  </si>
  <si>
    <t>NOTE :Same as Test Case #1 ,except:
a.Set LPS raw input values as NULL</t>
  </si>
  <si>
    <t xml:space="preserve">NOTE :Same as Test Case #1 ,except:
a.Set  Lift cylinder Rod End sensor pressure value as 6000 kpa and status as "NOT_OK" </t>
  </si>
  <si>
    <t xml:space="preserve">NOTE :Same as Test Case #1 ,except:
a.Reset the  LPS work table </t>
  </si>
  <si>
    <t xml:space="preserve">NOTE :Same as Test Case #1 ,except:
a.copy new configuration to work table </t>
  </si>
  <si>
    <t>NOTE :Same as Test Case #1 ,except:
a.set Expected weight as 30</t>
  </si>
  <si>
    <t xml:space="preserve">NOTE :Same as Test Case #1 ,except:
a.Set Lift cylinder extension percentage as 20
b.Set  Lift cylinder Head End sensor pressure value as 1290 kpa 
c.Set Lift cylinder Rod End sensor pressure value as 575 kpa </t>
  </si>
  <si>
    <t xml:space="preserve">NOTE :Same as Test Case #1 ,except:
a.Set Lift cylinder extension percentage as 30
b.Set  Lift cylinder Head End sensor pressure value as 2100 kpa 
c.Set Lift cylinder Rod End sensor pressure value as 950 kpa </t>
  </si>
  <si>
    <t xml:space="preserve">NOTE :Same as Test Case #1 ,except:
a.Set Lift cylinder extension percentage as 40
b.Set  Lift cylinder Head End sensor pressure value as 2200 kpa 
c.Set Lift cylinder Rod End sensor pressure value as 1200 kpa </t>
  </si>
  <si>
    <t xml:space="preserve">NOTE :Same as Test Case #1 ,except:
a.Set Lift cylinder extension percentage as 50
a.Set  Lift cylinder Head End sensor pressure value as 2400 kpa 
c.Set Lift cylinder Rod End sensor pressure value as 1400 kpa </t>
  </si>
  <si>
    <t xml:space="preserve">NOTE :Same as Test Case #1 ,except:
a.Set Lift cylinder extension percentage as 60
b.Set  Lift cylinder Head End sensor pressure value as 3250 kpa 
c.Set Lift cylinder Rod End sensor pressure value as 1750 kpa </t>
  </si>
  <si>
    <t xml:space="preserve">NOTE :Same as Test Case #1 ,except:
a.Set Lift cylinder extension percentage as 70
b.Set  Lift cylinder Head End sensor pressure value as 3500 kpa 
c.Set Lift cylinder Rod End sensor pressure value as 2000 kpa </t>
  </si>
  <si>
    <t xml:space="preserve">NOTE :Same as Test Case #1 ,except:
a.Set Lift cylinder extension percentage as 80
b.Set  Lift cylinder Head End sensor pressure value as 4000 kpa 
c.Set Lift cylinder Rod End sensor pressure value as 2100 kpa </t>
  </si>
  <si>
    <t xml:space="preserve">NOTE :Same as Test Case #1 ,except:
a.Set Lift cylinder extension percentage as 90
b.Set  Lift cylinder Head End sensor pressure value as 4700 kpa 
c.Set Lift cylinder Rod End sensor pressure value as 2600 kpa </t>
  </si>
  <si>
    <t>NOTE :Same as Test Case #5 ,except:
a.set Expected weight as 30</t>
  </si>
  <si>
    <t>NOTE :Same as Test Case #7 ,except:
a.set Expected weight as 30</t>
  </si>
  <si>
    <t>NOTE :Same as Test Case #9 ,except:
a.set Expected weight as 20</t>
  </si>
  <si>
    <t>NOTE :Same as Test Case #9 ,except:
a.set Expected weight as 30</t>
  </si>
  <si>
    <t>NOTE :Same as Test Case #9 ,except:
a.set Expected weight as 40</t>
  </si>
  <si>
    <t>NOTE :Same as Test Case #13 ,except:
a.set Expected weight as 15</t>
  </si>
  <si>
    <t>NOTE :Same as Test Case #13 ,except:
a.set Expected weight as 20</t>
  </si>
  <si>
    <t>NOTE :Same as Test Case #13 ,except:
a.set Expected weight as 25</t>
  </si>
  <si>
    <t>NOTE :Same as Test Case #13 ,except:
a.set Expected weight as 30</t>
  </si>
  <si>
    <t>NOTE :Same as Test Case #13 ,except:
a.set Expected weight as 35</t>
  </si>
  <si>
    <t>NOTE :Same as Test Case #13 ,except:
a.set Expected weight as 40</t>
  </si>
  <si>
    <t>NOTE :Same as Test Case #13 ,except:
a.set Expected weight as 45</t>
  </si>
  <si>
    <t>I.Default Configurations
A.Calibration Data
a.set Empty bucket slow raise pressure curve as {0,100,200,300,400,500,600,700,800,900,1000} Kpa 
b.Full bucket slow raise pressure curve as {0,1000,2000,3000,4000,5000,6000,7000,8000,9000,10000} Kpa
c.set Empty bucket slow Lower pressure curve  as{0,100,200,300,400,500,600,700,800,900,1000} Kpa 
d.Full bucket slow Lower pressure curve as {0,1000,2000,3000,4000,5000,6000,7000,8000,9000,10000} Kpa
e.set Empty bucket slow raise lift cylinder extension points as  {0,10,20,30,40,50,60,70,80,90,100} mm
f.set Full bucket slow raise lift cylinder extension points as {0,10,20,30,40,50,60,70,80,90,100} mm
g.set Empty bucket slow lower lift cylinder extension points in as {0,10,20,30,40,50,60,70,80,90,100} mm
h.set Full bucket slow lower lift cylinder extension points in as  {0,10,20,30,40,50,60,70,80,90,100} mm
i.set Average pressure acquired during empty bucket calibration for fast raise as 0  Kpa
j.set Average pressure acquired during full bucket calibration for fast raise as 0 Kpa
k.set Empty bucket slow raise calibration speed as 30 mm/sec
l.set Empty bucket fast raise calibration speed as 60 mm/sec
m.set Full bucket slow raise calibration speed as 30 mm/sec
n.set Empty bucket fast raise calibration speed as 60 mm/sec
o.set Payload weight used during full bucket calibration 50 Tonnes
B.Machine Speciifc Data
a.Set No of Lift cylinders as 2
b. Set cylinder bore diameter as 140 mm
c.Set cylinder rod diameter as 85
d.Set Hydraulic oil type as SAE-20 
e.Set Hydraulic oil Lift cylinder Head End LineLoss 2nd Order Coefficient as 0
f.Set Hydraulic oil Lift cylinder Head End LineLoss 1st Order Coefficient as 0
g.Set Hydraulic oil Lift cylinder Rod End LineLoss 2nd Order Coefficient as 0
h.Set Hydraulic oil Lift cylinder Rod End LineLoss 1st Order Coefficient as 0
C.Raw Input Data
a.Set  Lift cylinder Head End sensor pressure value as 1290 kpa and status as "OK"
b.Set Lift cylinder Rod End sensor pressure value as 575 kpa and status as "OK" 
c.Set Lift cylinder extension percentage as 10 and status as "OK"
d.Set Lift cylinder velocity as 40 mm/sec and status as "OK"
e.Set Hydraulic oil temperature as 50 Celsius and status as "OK"
D.set Expected weight as 10
F.calibration install status as 1
G.Execution rate for weight calculation as 0.02</t>
  </si>
  <si>
    <t xml:space="preserve">NOTE :Same as Test Case #1 ,except:
a.Set  Lift cylinder Head End sensor pressure value as 3000 kpa 
b.Set  Lift cylinder Rod End sensor pressure value as 6000 kpa </t>
  </si>
  <si>
    <t xml:space="preserve">compare if the differece-pressure output value match with expected data </t>
  </si>
  <si>
    <t>The differece-pressure output value should be same as Expected-difference-
pressure</t>
  </si>
  <si>
    <t>1. Set the cal status to LPS_WEIGH_SYSTEM_UNCALIBRATED                            2. call LpsWeighZeroAdjust                                  3. call LpsWeighGetZeroAdjStatus to get the status</t>
  </si>
  <si>
    <t>check for Zero Adjust status</t>
  </si>
  <si>
    <t>Zero adjust status should be LPS_ZERO_UPDATE_NOT_CALIBRATED</t>
  </si>
  <si>
    <t>1. set the cal status to LPS_WEIGH_SYSTEM_CALIBRATED                                 2. set the ZeroBktWtAccuracyLimit to LPS_WEIGH_BUCKET_WEIGHT_ACCURACY_LOW                                                                           3. set the best bucket weight accuracy to LPS_WEIGH_BUCKET_WEIGHT_ACCURACY_NONE                                                                          4. call LpsWeighZeroAdjust                                  5. call LpsWeighGetZeroAdjStatus to get the status</t>
  </si>
  <si>
    <t>check for the zero Adjust Status</t>
  </si>
  <si>
    <t>Zero adjust status should be LPS_ZERO_UPDATE_BUCKET_WT_NOT_ACCURATE</t>
  </si>
  <si>
    <t xml:space="preserve">1. set the cal status to LPS_WEIGH_SYSTEM_CALIBRATED                                    2. set the ZeroBktWtAccuracyLimit to LPS_WEIGH_BUCKET_WEIGHT_ACCURACY_MED                                                                                 3. set the ZeroRangeLimit to 40                         4. set the bucket weight 50                                                                                          5. call LpsWeighZeroAdjust                                  6. call LpsWeighGetZeroAdjStatus to get the status               </t>
  </si>
  <si>
    <t>check for the zero adjust status</t>
  </si>
  <si>
    <t>Zero adjust status should be LPS_ZERO_UPDATE_TOO_HEAVY_TO_ZERO</t>
  </si>
  <si>
    <t xml:space="preserve">1. set the cal status to LPS_WEIGH_SYSTEM_CALIBRATED                                    2. set the ZeroBktWtAccuracyLimit to LPS_WEIGH_BUCKET_WEIGHT_ACCURACY_HIGH                                                                                 3. set the ZeroRangeLimit to 40                         4. set the bucket weight 10                                  5. set the Hydraulic oil temp value to 40 and status LPS_HYD_OIL_TEMP_STATUS_OK                                                                                          5. call LpsWeighZeroAdjust                                  6. call LpsWeighGetZeroAdjStatus to get the status               </t>
  </si>
  <si>
    <t>Zero adjust status should be LPS_ZERO_UPDATE_SUCCESS</t>
  </si>
  <si>
    <t>1. Set the cal status to LPS_WEIGH_SYSTEM_UNCALIBRATED                  2. call LpsWeighAutoZeroUpdate                        3. call LpsWeighGetAutoZeroUpdateStatus to get the status</t>
  </si>
  <si>
    <t xml:space="preserve">Auto zero update status should return LPS_ZERO_UPDATE_ZERO_NOT_REQUIRED                                </t>
  </si>
  <si>
    <t>check the auto zero update status</t>
  </si>
  <si>
    <t>1. Set the cal status to LPS_WEIGH_SYSTEM_CALIBRATED                   2. set the weighing status to TRUE                         3. call LpsWeighAutoZeroUpdate                        4. call LpsWeighGetAutoZeroUpdateStatus to get the status</t>
  </si>
  <si>
    <t>1. Set the cal status to LPS_WEIGH_SYSTEM_CALIBRATED                   2. set the weighing status to FALSE                    3. set the passcount to 0                                                              4. call LpsWeighAutoZeroUpdate                        5. call LpsWeighGetAutoZeroUpdateStatus to get the status</t>
  </si>
  <si>
    <t xml:space="preserve">Auto zero update status should return LPS_ZERO_UPDATE_TIMER_EXPIRED_ZERO_REQUIRED                                </t>
  </si>
  <si>
    <t>1. Set the cal status to LPS_WEIGH_SYSTEM_CALIBRATED                   2. set the weighing status to FALSE                    3. set the snoozed status to FALSE                    4. set the passcount to 0                                                              5. set the zero temp to 80                                    6. set the empty temp to 50                                 7. set the hyd oil temp to 40 with status LPS_HYD_OIL_TEMP_STATUS_OK                      8. set zero adjust oil temp warn threshold to 40                                                                               9.  call LpsWeighAutoZeroUpdate                        10. call LpsWeighGetAutoZeroUpdateStatus to get the status</t>
  </si>
  <si>
    <t>Auto zero update status should return LPS_ZERO_UPDATE_TEMPERATURE_CHANGE_ZERO_REQUIRED</t>
  </si>
  <si>
    <t>1. Set the cal status to LPS_WEIGH_SYSTEM_CALIBRATED                   2. set the weighing status to FALSE                    3. set the snoozed status to FALSE                    4. set the passcount to 0                                                              5. set the zero temp to 80                                    6. set the empty temp to 50                                 7. set the hyd oil temp to 40 with status LPS_HYD_OIL_TEMP_STATUS_BAD                      8. set zero adjust oil temp warn threshold to 40                                                                               9.  call LpsWeighAutoZeroUpdate                        10. call LpsWeighGetAutoZeroUpdateStatus to get the status</t>
  </si>
  <si>
    <t>1. Set the cal status to LPS_WEIGH_SYSTEM_CALIBRATED                   2. set the weighing status to FALSE                    3. set the snoozed status to FALSE                    4. set the passcount to 0                                                              5. set the zero temp to 80                                    6. set the empty temp to 50                                 7. set the hyd oil temp to 40 with status LPS_HYD_OIL_TEMP_STATUS_BAD                      8. set the lift status to TRUE                                9. set the poweron status to TRUE                                                                               10.  call LpsWeighAutoZeroUpdate                        11. call LpsWeighGetAutoZeroUpdateStatus to get the status</t>
  </si>
  <si>
    <t>1. Set the cal status to LPS_WEIGH_SYSTEM_CALIBRATED                   2. set the weighing status to FALSE                    3. set the snoozed status to FALSE                    4. set the passcount to 0                                                              5. set the zero temp to 80                                    6. set the empty temp to 50                                 7. set the hyd oil temp to 40 with status LPS_HYD_OIL_TEMP_STATUS_BAD                      8. set the lift status to TRUE                                9. set the poweron status to FALSE                                                                               10.  call LpsWeighAutoZeroUpdate                        11. call LpsWeighGetAutoZeroUpdateStatus to get the status</t>
  </si>
  <si>
    <t>1. Set the cal status to LPS_WEIGH_SYSTEM_CALIBRATED                   2. set the weighing status to FALSE                    3. set the snoozed status to FALSE                    4. set the passcount to 0                                                              5. set the zero temp to -100                                    6. set the empty temp to 50                                 7. set the hyd oil temp to 40 with status LPS_HYD_OIL_TEMP_STATUS_OK                      8. call LpsWeighAutoZeroUpdate                        9. call LpsWeighGetAutoZeroUpdateStatus to get the status</t>
  </si>
  <si>
    <t>1. Set the cal status to LPS_WEIGH_SYSTEM_CALIBRATED                   2. set the weighing status to FALSE                    3. set the snoozed status to FALSE                    4. set the passcount to 0                                                              5. set the zero temp to 80                                    6. set the empty temp to 50                                 7. set the hyd oil temp to 70 with status LPS_HYD_OIL_TEMP_STATUS_OK                      8. set the zero adjust oil temp warn threshold to 40                                                                        9. call LpsWeighAutoZeroUpdate                        10. call LpsWeighGetAutoZeroUpdateStatus to get the status</t>
  </si>
  <si>
    <t>Auto zero update status should return LPS_ZERO_UPDATE_TIMER_EXPIRED_ZERO_REQUIRED</t>
  </si>
  <si>
    <t>Auto zero update status should return  LPS_ZERO_UPDATE_ZERO_NOT_REQUIRED</t>
  </si>
  <si>
    <t>Auto zero update status should return LPS_ZERO_UPDATE_ZERO_NOT_REQUIRED</t>
  </si>
  <si>
    <t>1. Set the cal status to LPS_WEIGH_SYSTEM_CALIBRATED                   2. set the weighing status to FALSE                    3. set the snoozed status to FALSE                    4. set the passcount to 0                                                              5. set the zero temp to 80                                    6. set the empty temp to 50                                 7. set the hyd oil temp to 60 with status LPS_HYD_OIL_TEMP_STATUS_OK                      8. set the zero adjust oil temp warn threshold to 40                                                                        9. call LpsWeighAutoZeroUpdate                        10. call LpsWeighGetAutoZeroUpdateStatus to get the status</t>
  </si>
  <si>
    <t>1. Set the cal status to LPS_WEIGH_SYSTEM_CALIBRATED                   2. set the weighing status to FALSE                    3. set the snoozed status to FALSE                    4. set the passcount to 0                                                              5. set the zero temp to 80                                    6. set the empty temp to 50                                 7. set the hyd oil temp to 90 with status LPS_HYD_OIL_TEMP_STATUS_OK                      8. set the zero adjust oil temp warn threshold to 40                                                                        9. call LpsWeighAutoZeroUpdate                        10. call LpsWeighGetAutoZeroUpdateStatus to get the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</si>
</sst>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4"/>
      <color theme="1"/>
      <name val="Calibri"/>
      <family val="2"/>
      <scheme val="minor"/>
    </font>
    <font>
      <b/>
      <sz val="11"/>
      <color theme="1"/>
      <name val="Calibri"/>
      <family val="2"/>
      <scheme val="minor"/>
    </font>
    <font>
      <b/>
      <sz val="20"/>
      <color theme="1"/>
      <name val="Calibri"/>
      <family val="2"/>
      <scheme val="minor"/>
    </font>
    <font>
      <i/>
      <u/>
      <sz val="11"/>
      <color theme="1"/>
      <name val="Calibri"/>
      <family val="2"/>
      <scheme val="minor"/>
    </font>
    <font>
      <sz val="11"/>
      <color theme="9"/>
      <name val="Calibri"/>
      <family val="2"/>
      <scheme val="minor"/>
    </font>
    <font>
      <sz val="11"/>
      <color rgb="FF00B050"/>
      <name val="Calibri"/>
      <family val="2"/>
      <scheme val="minor"/>
    </font>
    <font>
      <sz val="11"/>
      <color theme="5"/>
      <name val="Calibri"/>
      <family val="2"/>
      <scheme val="minor"/>
    </font>
    <font>
      <b/>
      <sz val="11"/>
      <color theme="4"/>
      <name val="Calibri"/>
      <family val="2"/>
      <scheme val="minor"/>
    </font>
    <font>
      <b/>
      <sz val="11"/>
      <color rgb="FFFF0000"/>
      <name val="Calibri"/>
      <family val="2"/>
      <scheme val="minor"/>
    </font>
    <font>
      <b/>
      <sz val="11"/>
      <color rgb="FF0070C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0" fontId="2" fillId="0" borderId="0" xfId="0" applyFont="1"/>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applyAlignment="1">
      <alignment wrapText="1"/>
    </xf>
    <xf numFmtId="0" fontId="9" fillId="0" borderId="0" xfId="0" applyFont="1"/>
    <xf numFmtId="0" fontId="10" fillId="0" borderId="0" xfId="0" applyFont="1" applyAlignment="1">
      <alignment wrapText="1"/>
    </xf>
    <xf numFmtId="0" fontId="10" fillId="0" borderId="0" xfId="0" applyFont="1"/>
    <xf numFmtId="0" fontId="1" fillId="2" borderId="1" xfId="0" applyFont="1" applyFill="1" applyBorder="1" applyAlignment="1">
      <alignment horizontal="center" wrapText="1"/>
    </xf>
    <xf numFmtId="0" fontId="1" fillId="2" borderId="1" xfId="0" applyFont="1" applyFill="1" applyBorder="1" applyAlignment="1">
      <alignment wrapText="1"/>
    </xf>
    <xf numFmtId="0" fontId="1" fillId="2" borderId="1" xfId="0" applyFont="1" applyFill="1" applyBorder="1" applyAlignment="1">
      <alignment horizontal="center"/>
    </xf>
    <xf numFmtId="0" fontId="1" fillId="2" borderId="1" xfId="0" applyFont="1" applyFill="1" applyBorder="1" applyAlignment="1">
      <alignment horizontal="justify" vertical="top" wrapText="1"/>
    </xf>
    <xf numFmtId="0" fontId="0" fillId="0" borderId="0" xfId="0" applyAlignment="1">
      <alignment horizontal="center" vertical="center"/>
    </xf>
    <xf numFmtId="0" fontId="0" fillId="0" borderId="0" xfId="0" applyAlignment="1">
      <alignment horizontal="justify" vertical="top" wrapText="1"/>
    </xf>
    <xf numFmtId="0" fontId="0" fillId="0" borderId="0" xfId="0" applyFill="1" applyBorder="1" applyAlignment="1">
      <alignment wrapText="1"/>
    </xf>
    <xf numFmtId="0" fontId="1" fillId="0" borderId="0" xfId="0" applyFont="1" applyAlignment="1">
      <alignment horizontal="center" vertical="center" wrapText="1"/>
    </xf>
    <xf numFmtId="0" fontId="3" fillId="0" borderId="0" xfId="0" applyFont="1" applyAlignment="1">
      <alignment horizontal="center"/>
    </xf>
    <xf numFmtId="0" fontId="0" fillId="0" borderId="0" xfId="0" applyAlignment="1">
      <alignment horizontal="center"/>
    </xf>
    <xf numFmtId="0" fontId="4"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62"/>
  <sheetViews>
    <sheetView zoomScaleNormal="100" workbookViewId="0">
      <selection activeCell="E6" sqref="E6"/>
    </sheetView>
  </sheetViews>
  <sheetFormatPr defaultRowHeight="14.4" x14ac:dyDescent="0.3"/>
  <cols>
    <col min="1" max="1" width="16" style="4" customWidth="1"/>
    <col min="2" max="2" width="54" style="6" customWidth="1"/>
    <col min="3" max="3" width="21.44140625" style="6" customWidth="1"/>
    <col min="4" max="4" width="26" style="6" bestFit="1" customWidth="1"/>
    <col min="5" max="5" width="20.6640625" style="3" bestFit="1" customWidth="1"/>
    <col min="6" max="6" width="16.44140625" style="3" customWidth="1"/>
    <col min="7" max="7" width="14.88671875" style="3" customWidth="1"/>
  </cols>
  <sheetData>
    <row r="1" spans="1:7" ht="36" x14ac:dyDescent="0.3">
      <c r="A1" s="1" t="s">
        <v>0</v>
      </c>
      <c r="B1" s="1" t="s">
        <v>1</v>
      </c>
      <c r="C1" s="1" t="s">
        <v>2</v>
      </c>
      <c r="D1" s="2" t="s">
        <v>3</v>
      </c>
      <c r="E1" s="1" t="s">
        <v>4</v>
      </c>
      <c r="F1" s="1" t="s">
        <v>5</v>
      </c>
      <c r="G1" s="2" t="s">
        <v>6</v>
      </c>
    </row>
    <row r="2" spans="1:7" ht="316.8" x14ac:dyDescent="0.3">
      <c r="A2" s="4">
        <v>1</v>
      </c>
      <c r="B2" s="5" t="s">
        <v>49</v>
      </c>
      <c r="C2" s="6" t="s">
        <v>143</v>
      </c>
      <c r="D2" s="6" t="s">
        <v>144</v>
      </c>
      <c r="E2" s="6"/>
    </row>
    <row r="3" spans="1:7" ht="57.6" x14ac:dyDescent="0.3">
      <c r="A3" s="4">
        <v>2</v>
      </c>
      <c r="B3" s="5" t="s">
        <v>64</v>
      </c>
      <c r="C3" s="6" t="s">
        <v>143</v>
      </c>
      <c r="D3" s="6" t="s">
        <v>144</v>
      </c>
      <c r="E3" s="6"/>
    </row>
    <row r="4" spans="1:7" ht="57.6" x14ac:dyDescent="0.3">
      <c r="A4" s="4">
        <v>3</v>
      </c>
      <c r="B4" s="5" t="s">
        <v>65</v>
      </c>
      <c r="C4" s="6" t="s">
        <v>143</v>
      </c>
      <c r="D4" s="6" t="s">
        <v>144</v>
      </c>
      <c r="E4" s="6"/>
    </row>
    <row r="5" spans="1:7" ht="57.6" x14ac:dyDescent="0.3">
      <c r="A5" s="4">
        <v>4</v>
      </c>
      <c r="B5" s="5" t="s">
        <v>66</v>
      </c>
      <c r="C5" s="6" t="s">
        <v>143</v>
      </c>
      <c r="D5" s="6" t="s">
        <v>144</v>
      </c>
      <c r="E5" s="6"/>
    </row>
    <row r="6" spans="1:7" ht="57.6" x14ac:dyDescent="0.3">
      <c r="A6" s="4">
        <v>5</v>
      </c>
      <c r="B6" s="5" t="s">
        <v>67</v>
      </c>
      <c r="C6" s="6" t="s">
        <v>143</v>
      </c>
      <c r="D6" s="6" t="s">
        <v>144</v>
      </c>
      <c r="E6" s="6"/>
    </row>
    <row r="7" spans="1:7" ht="57.6" x14ac:dyDescent="0.3">
      <c r="A7" s="4">
        <v>6</v>
      </c>
      <c r="B7" s="5" t="s">
        <v>68</v>
      </c>
      <c r="C7" s="6" t="s">
        <v>143</v>
      </c>
      <c r="D7" s="6" t="s">
        <v>144</v>
      </c>
      <c r="E7" s="6"/>
    </row>
    <row r="8" spans="1:7" ht="57.6" x14ac:dyDescent="0.3">
      <c r="A8" s="4">
        <v>7</v>
      </c>
      <c r="B8" s="5" t="s">
        <v>69</v>
      </c>
      <c r="C8" s="6" t="s">
        <v>143</v>
      </c>
      <c r="D8" s="6" t="s">
        <v>144</v>
      </c>
      <c r="E8" s="6"/>
    </row>
    <row r="9" spans="1:7" ht="57.6" x14ac:dyDescent="0.3">
      <c r="A9" s="4">
        <v>8</v>
      </c>
      <c r="B9" s="5" t="s">
        <v>70</v>
      </c>
      <c r="C9" s="6" t="s">
        <v>143</v>
      </c>
      <c r="D9" s="6" t="s">
        <v>144</v>
      </c>
    </row>
    <row r="10" spans="1:7" ht="57.6" x14ac:dyDescent="0.3">
      <c r="A10" s="4">
        <v>9</v>
      </c>
      <c r="B10" s="5" t="s">
        <v>71</v>
      </c>
      <c r="C10" s="6" t="s">
        <v>143</v>
      </c>
      <c r="D10" s="6" t="s">
        <v>144</v>
      </c>
    </row>
    <row r="11" spans="1:7" ht="57.6" x14ac:dyDescent="0.3">
      <c r="A11" s="4">
        <v>10</v>
      </c>
      <c r="B11" s="5" t="s">
        <v>72</v>
      </c>
      <c r="C11" s="6" t="s">
        <v>143</v>
      </c>
      <c r="D11" s="6" t="s">
        <v>144</v>
      </c>
    </row>
    <row r="12" spans="1:7" ht="57.6" x14ac:dyDescent="0.3">
      <c r="A12" s="4">
        <v>11</v>
      </c>
      <c r="B12" s="5" t="s">
        <v>73</v>
      </c>
      <c r="C12" s="6" t="s">
        <v>143</v>
      </c>
      <c r="D12" s="6" t="s">
        <v>144</v>
      </c>
    </row>
    <row r="13" spans="1:7" ht="57.6" x14ac:dyDescent="0.3">
      <c r="A13" s="4">
        <v>12</v>
      </c>
      <c r="B13" s="5" t="s">
        <v>74</v>
      </c>
      <c r="C13" s="6" t="s">
        <v>143</v>
      </c>
      <c r="D13" s="6" t="s">
        <v>144</v>
      </c>
    </row>
    <row r="14" spans="1:7" ht="57.6" x14ac:dyDescent="0.3">
      <c r="A14" s="4">
        <v>13</v>
      </c>
      <c r="B14" s="5" t="s">
        <v>75</v>
      </c>
      <c r="C14" s="6" t="s">
        <v>143</v>
      </c>
      <c r="D14" s="6" t="s">
        <v>144</v>
      </c>
    </row>
    <row r="15" spans="1:7" ht="57.6" x14ac:dyDescent="0.3">
      <c r="A15" s="4">
        <v>14</v>
      </c>
      <c r="B15" s="5" t="s">
        <v>76</v>
      </c>
      <c r="C15" s="6" t="s">
        <v>143</v>
      </c>
      <c r="D15" s="6" t="s">
        <v>144</v>
      </c>
    </row>
    <row r="16" spans="1:7" ht="57.6" x14ac:dyDescent="0.3">
      <c r="A16" s="4">
        <v>15</v>
      </c>
      <c r="B16" s="5" t="s">
        <v>77</v>
      </c>
      <c r="C16" s="6" t="s">
        <v>143</v>
      </c>
      <c r="D16" s="6" t="s">
        <v>144</v>
      </c>
    </row>
    <row r="17" spans="1:4" ht="57.6" x14ac:dyDescent="0.3">
      <c r="A17" s="4">
        <v>16</v>
      </c>
      <c r="B17" s="5" t="s">
        <v>78</v>
      </c>
      <c r="C17" s="6" t="s">
        <v>143</v>
      </c>
      <c r="D17" s="6" t="s">
        <v>144</v>
      </c>
    </row>
    <row r="18" spans="1:4" ht="57.6" x14ac:dyDescent="0.3">
      <c r="A18" s="4">
        <v>17</v>
      </c>
      <c r="B18" s="5" t="s">
        <v>79</v>
      </c>
      <c r="C18" s="6" t="s">
        <v>143</v>
      </c>
      <c r="D18" s="6" t="s">
        <v>144</v>
      </c>
    </row>
    <row r="19" spans="1:4" ht="57.6" x14ac:dyDescent="0.3">
      <c r="A19" s="4">
        <v>18</v>
      </c>
      <c r="B19" s="5" t="s">
        <v>80</v>
      </c>
      <c r="C19" s="6" t="s">
        <v>143</v>
      </c>
      <c r="D19" s="6" t="s">
        <v>144</v>
      </c>
    </row>
    <row r="20" spans="1:4" ht="57.6" x14ac:dyDescent="0.3">
      <c r="A20" s="4">
        <v>19</v>
      </c>
      <c r="B20" s="5" t="s">
        <v>81</v>
      </c>
      <c r="C20" s="6" t="s">
        <v>143</v>
      </c>
      <c r="D20" s="6" t="s">
        <v>144</v>
      </c>
    </row>
    <row r="21" spans="1:4" ht="57.6" x14ac:dyDescent="0.3">
      <c r="A21" s="4">
        <v>20</v>
      </c>
      <c r="B21" s="5" t="s">
        <v>82</v>
      </c>
      <c r="C21" s="6" t="s">
        <v>143</v>
      </c>
      <c r="D21" s="6" t="s">
        <v>144</v>
      </c>
    </row>
    <row r="22" spans="1:4" ht="57.6" x14ac:dyDescent="0.3">
      <c r="A22" s="4">
        <v>21</v>
      </c>
      <c r="B22" s="5" t="s">
        <v>83</v>
      </c>
      <c r="C22" s="6" t="s">
        <v>143</v>
      </c>
      <c r="D22" s="6" t="s">
        <v>144</v>
      </c>
    </row>
    <row r="23" spans="1:4" ht="57.6" x14ac:dyDescent="0.3">
      <c r="A23" s="4">
        <v>22</v>
      </c>
      <c r="B23" s="5" t="s">
        <v>84</v>
      </c>
      <c r="C23" s="6" t="s">
        <v>143</v>
      </c>
      <c r="D23" s="6" t="s">
        <v>144</v>
      </c>
    </row>
    <row r="24" spans="1:4" ht="57.6" x14ac:dyDescent="0.3">
      <c r="A24" s="4">
        <v>23</v>
      </c>
      <c r="B24" s="5" t="s">
        <v>85</v>
      </c>
      <c r="C24" s="6" t="s">
        <v>143</v>
      </c>
      <c r="D24" s="6" t="s">
        <v>144</v>
      </c>
    </row>
    <row r="25" spans="1:4" ht="57.6" x14ac:dyDescent="0.3">
      <c r="A25" s="4">
        <v>24</v>
      </c>
      <c r="B25" s="5" t="s">
        <v>86</v>
      </c>
      <c r="C25" s="6" t="s">
        <v>143</v>
      </c>
      <c r="D25" s="6" t="s">
        <v>144</v>
      </c>
    </row>
    <row r="26" spans="1:4" ht="72" x14ac:dyDescent="0.3">
      <c r="A26" s="4">
        <v>25</v>
      </c>
      <c r="B26" s="5" t="s">
        <v>87</v>
      </c>
      <c r="C26" s="6" t="s">
        <v>143</v>
      </c>
      <c r="D26" s="6" t="s">
        <v>144</v>
      </c>
    </row>
    <row r="27" spans="1:4" ht="72" x14ac:dyDescent="0.3">
      <c r="A27" s="4">
        <v>26</v>
      </c>
      <c r="B27" s="5" t="s">
        <v>88</v>
      </c>
      <c r="C27" s="6" t="s">
        <v>143</v>
      </c>
      <c r="D27" s="6" t="s">
        <v>144</v>
      </c>
    </row>
    <row r="28" spans="1:4" ht="72" x14ac:dyDescent="0.3">
      <c r="A28" s="4">
        <v>27</v>
      </c>
      <c r="B28" s="5" t="s">
        <v>89</v>
      </c>
      <c r="C28" s="6" t="s">
        <v>143</v>
      </c>
      <c r="D28" s="6" t="s">
        <v>144</v>
      </c>
    </row>
    <row r="29" spans="1:4" ht="100.8" x14ac:dyDescent="0.3">
      <c r="A29" s="4">
        <v>28</v>
      </c>
      <c r="B29" s="5" t="s">
        <v>90</v>
      </c>
      <c r="C29" s="6" t="s">
        <v>143</v>
      </c>
      <c r="D29" s="6" t="s">
        <v>144</v>
      </c>
    </row>
    <row r="30" spans="1:4" ht="100.8" x14ac:dyDescent="0.3">
      <c r="A30" s="4">
        <v>29</v>
      </c>
      <c r="B30" s="5" t="s">
        <v>91</v>
      </c>
      <c r="C30" s="6" t="s">
        <v>143</v>
      </c>
      <c r="D30" s="6" t="s">
        <v>144</v>
      </c>
    </row>
    <row r="31" spans="1:4" ht="129.6" x14ac:dyDescent="0.3">
      <c r="A31" s="4">
        <v>30</v>
      </c>
      <c r="B31" s="5" t="s">
        <v>92</v>
      </c>
      <c r="C31" s="6" t="s">
        <v>143</v>
      </c>
      <c r="D31" s="6" t="s">
        <v>144</v>
      </c>
    </row>
    <row r="32" spans="1:4" ht="57.6" x14ac:dyDescent="0.3">
      <c r="A32" s="4">
        <v>31</v>
      </c>
      <c r="B32" s="5" t="s">
        <v>93</v>
      </c>
      <c r="C32" s="6" t="s">
        <v>143</v>
      </c>
      <c r="D32" s="6" t="s">
        <v>144</v>
      </c>
    </row>
    <row r="33" spans="1:4" ht="57.6" x14ac:dyDescent="0.3">
      <c r="A33" s="4">
        <v>32</v>
      </c>
      <c r="B33" s="5" t="s">
        <v>94</v>
      </c>
      <c r="C33" s="6" t="s">
        <v>143</v>
      </c>
      <c r="D33" s="6" t="s">
        <v>144</v>
      </c>
    </row>
    <row r="34" spans="1:4" ht="57.6" x14ac:dyDescent="0.3">
      <c r="A34" s="4">
        <v>33</v>
      </c>
      <c r="B34" s="5" t="s">
        <v>95</v>
      </c>
      <c r="C34" s="6" t="s">
        <v>143</v>
      </c>
      <c r="D34" s="6" t="s">
        <v>144</v>
      </c>
    </row>
    <row r="35" spans="1:4" ht="57.6" x14ac:dyDescent="0.3">
      <c r="A35" s="4">
        <v>34</v>
      </c>
      <c r="B35" s="5" t="s">
        <v>96</v>
      </c>
      <c r="C35" s="6" t="s">
        <v>143</v>
      </c>
      <c r="D35" s="6" t="s">
        <v>144</v>
      </c>
    </row>
    <row r="36" spans="1:4" ht="57.6" x14ac:dyDescent="0.3">
      <c r="A36" s="4">
        <v>35</v>
      </c>
      <c r="B36" s="5" t="s">
        <v>97</v>
      </c>
      <c r="C36" s="6" t="s">
        <v>143</v>
      </c>
      <c r="D36" s="6" t="s">
        <v>144</v>
      </c>
    </row>
    <row r="37" spans="1:4" ht="57.6" x14ac:dyDescent="0.3">
      <c r="A37" s="4">
        <v>36</v>
      </c>
      <c r="B37" s="5" t="s">
        <v>98</v>
      </c>
      <c r="C37" s="6" t="s">
        <v>143</v>
      </c>
      <c r="D37" s="6" t="s">
        <v>144</v>
      </c>
    </row>
    <row r="38" spans="1:4" ht="57.6" x14ac:dyDescent="0.3">
      <c r="A38" s="4">
        <v>37</v>
      </c>
      <c r="B38" s="5" t="s">
        <v>99</v>
      </c>
      <c r="C38" s="6" t="s">
        <v>143</v>
      </c>
      <c r="D38" s="6" t="s">
        <v>144</v>
      </c>
    </row>
    <row r="39" spans="1:4" ht="57.6" x14ac:dyDescent="0.3">
      <c r="A39" s="4">
        <v>38</v>
      </c>
      <c r="B39" s="5" t="s">
        <v>100</v>
      </c>
      <c r="C39" s="6" t="s">
        <v>143</v>
      </c>
      <c r="D39" s="6" t="s">
        <v>144</v>
      </c>
    </row>
    <row r="40" spans="1:4" ht="57.6" x14ac:dyDescent="0.3">
      <c r="A40" s="4">
        <v>39</v>
      </c>
      <c r="B40" s="5" t="s">
        <v>101</v>
      </c>
      <c r="C40" s="6" t="s">
        <v>143</v>
      </c>
      <c r="D40" s="6" t="s">
        <v>144</v>
      </c>
    </row>
    <row r="41" spans="1:4" ht="57.6" x14ac:dyDescent="0.3">
      <c r="A41" s="4">
        <v>40</v>
      </c>
      <c r="B41" s="5" t="s">
        <v>102</v>
      </c>
      <c r="C41" s="6" t="s">
        <v>143</v>
      </c>
      <c r="D41" s="6" t="s">
        <v>144</v>
      </c>
    </row>
    <row r="42" spans="1:4" ht="57.6" x14ac:dyDescent="0.3">
      <c r="A42" s="4">
        <v>41</v>
      </c>
      <c r="B42" s="5" t="s">
        <v>103</v>
      </c>
      <c r="C42" s="6" t="s">
        <v>143</v>
      </c>
      <c r="D42" s="6" t="s">
        <v>144</v>
      </c>
    </row>
    <row r="43" spans="1:4" ht="57.6" x14ac:dyDescent="0.3">
      <c r="A43" s="4">
        <v>42</v>
      </c>
      <c r="B43" s="5" t="s">
        <v>104</v>
      </c>
      <c r="C43" s="6" t="s">
        <v>143</v>
      </c>
      <c r="D43" s="6" t="s">
        <v>144</v>
      </c>
    </row>
    <row r="44" spans="1:4" ht="57.6" x14ac:dyDescent="0.3">
      <c r="A44" s="4">
        <v>43</v>
      </c>
      <c r="B44" s="5" t="s">
        <v>105</v>
      </c>
      <c r="C44" s="6" t="s">
        <v>143</v>
      </c>
      <c r="D44" s="6" t="s">
        <v>144</v>
      </c>
    </row>
    <row r="45" spans="1:4" ht="57.6" x14ac:dyDescent="0.3">
      <c r="A45" s="4">
        <v>44</v>
      </c>
      <c r="B45" s="5" t="s">
        <v>106</v>
      </c>
      <c r="C45" s="6" t="s">
        <v>143</v>
      </c>
      <c r="D45" s="6" t="s">
        <v>144</v>
      </c>
    </row>
    <row r="46" spans="1:4" ht="57.6" x14ac:dyDescent="0.3">
      <c r="A46" s="4">
        <v>45</v>
      </c>
      <c r="B46" s="5" t="s">
        <v>107</v>
      </c>
      <c r="C46" s="6" t="s">
        <v>143</v>
      </c>
      <c r="D46" s="6" t="s">
        <v>144</v>
      </c>
    </row>
    <row r="47" spans="1:4" ht="57.6" x14ac:dyDescent="0.3">
      <c r="A47" s="4">
        <v>46</v>
      </c>
      <c r="B47" s="5" t="s">
        <v>108</v>
      </c>
      <c r="C47" s="6" t="s">
        <v>143</v>
      </c>
      <c r="D47" s="6" t="s">
        <v>144</v>
      </c>
    </row>
    <row r="48" spans="1:4" ht="57.6" x14ac:dyDescent="0.3">
      <c r="A48" s="4">
        <v>47</v>
      </c>
      <c r="B48" s="5" t="s">
        <v>109</v>
      </c>
      <c r="C48" s="6" t="s">
        <v>143</v>
      </c>
      <c r="D48" s="6" t="s">
        <v>144</v>
      </c>
    </row>
    <row r="49" spans="1:4" ht="57.6" x14ac:dyDescent="0.3">
      <c r="A49" s="4">
        <v>48</v>
      </c>
      <c r="B49" s="5" t="s">
        <v>110</v>
      </c>
      <c r="C49" s="6" t="s">
        <v>143</v>
      </c>
      <c r="D49" s="6" t="s">
        <v>144</v>
      </c>
    </row>
    <row r="50" spans="1:4" ht="57.6" x14ac:dyDescent="0.3">
      <c r="A50" s="4">
        <v>49</v>
      </c>
      <c r="B50" s="5" t="s">
        <v>111</v>
      </c>
      <c r="C50" s="6" t="s">
        <v>143</v>
      </c>
      <c r="D50" s="6" t="s">
        <v>144</v>
      </c>
    </row>
    <row r="51" spans="1:4" ht="57.6" x14ac:dyDescent="0.3">
      <c r="A51" s="4">
        <v>50</v>
      </c>
      <c r="B51" s="5" t="s">
        <v>112</v>
      </c>
      <c r="C51" s="6" t="s">
        <v>143</v>
      </c>
      <c r="D51" s="6" t="s">
        <v>144</v>
      </c>
    </row>
    <row r="52" spans="1:4" ht="43.2" x14ac:dyDescent="0.3">
      <c r="A52" s="4">
        <v>51</v>
      </c>
      <c r="B52" s="5" t="s">
        <v>142</v>
      </c>
      <c r="C52" s="6" t="s">
        <v>57</v>
      </c>
      <c r="D52" s="6" t="s">
        <v>50</v>
      </c>
    </row>
    <row r="53" spans="1:4" ht="43.2" x14ac:dyDescent="0.3">
      <c r="A53" s="4">
        <v>52</v>
      </c>
      <c r="B53" s="5" t="s">
        <v>113</v>
      </c>
      <c r="C53" s="6" t="s">
        <v>58</v>
      </c>
      <c r="D53" s="6" t="s">
        <v>52</v>
      </c>
    </row>
    <row r="54" spans="1:4" ht="43.2" x14ac:dyDescent="0.3">
      <c r="A54" s="4">
        <v>53</v>
      </c>
      <c r="B54" s="5" t="s">
        <v>114</v>
      </c>
      <c r="C54" s="6" t="s">
        <v>58</v>
      </c>
      <c r="D54" s="6" t="s">
        <v>51</v>
      </c>
    </row>
    <row r="55" spans="1:4" ht="43.2" x14ac:dyDescent="0.3">
      <c r="A55" s="4">
        <v>54</v>
      </c>
      <c r="B55" s="6" t="s">
        <v>115</v>
      </c>
      <c r="C55" s="6" t="s">
        <v>56</v>
      </c>
      <c r="D55" s="6" t="s">
        <v>54</v>
      </c>
    </row>
    <row r="56" spans="1:4" ht="43.2" x14ac:dyDescent="0.3">
      <c r="A56" s="4">
        <v>55</v>
      </c>
      <c r="B56" s="5" t="s">
        <v>116</v>
      </c>
      <c r="C56" s="6" t="s">
        <v>56</v>
      </c>
      <c r="D56" s="6" t="s">
        <v>53</v>
      </c>
    </row>
    <row r="57" spans="1:4" ht="43.2" x14ac:dyDescent="0.3">
      <c r="A57" s="4">
        <v>56</v>
      </c>
      <c r="B57" s="5" t="s">
        <v>117</v>
      </c>
      <c r="C57" s="6" t="s">
        <v>56</v>
      </c>
      <c r="D57" s="6" t="s">
        <v>55</v>
      </c>
    </row>
    <row r="58" spans="1:4" ht="28.8" x14ac:dyDescent="0.3">
      <c r="A58" s="4">
        <v>57</v>
      </c>
      <c r="B58" s="5" t="s">
        <v>118</v>
      </c>
      <c r="C58" s="6" t="s">
        <v>59</v>
      </c>
      <c r="D58" s="6" t="s">
        <v>60</v>
      </c>
    </row>
    <row r="59" spans="1:4" ht="28.8" x14ac:dyDescent="0.3">
      <c r="A59" s="4">
        <v>58</v>
      </c>
      <c r="B59" s="5" t="s">
        <v>119</v>
      </c>
      <c r="C59" s="6" t="s">
        <v>61</v>
      </c>
      <c r="D59" s="6" t="s">
        <v>62</v>
      </c>
    </row>
    <row r="62" spans="1:4" ht="18" x14ac:dyDescent="0.3">
      <c r="A62" s="23" t="s">
        <v>63</v>
      </c>
      <c r="B62" s="23"/>
      <c r="C62" s="23"/>
      <c r="D62" s="23"/>
    </row>
  </sheetData>
  <mergeCells count="1">
    <mergeCell ref="A62:D62"/>
  </mergeCells>
  <pageMargins left="0.7" right="0.7" top="0.75" bottom="0.75" header="0.3" footer="0.3"/>
  <pageSetup paperSize="9"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4"/>
  <sheetViews>
    <sheetView zoomScale="80" zoomScaleNormal="80" workbookViewId="0">
      <selection activeCell="C2" sqref="C2"/>
    </sheetView>
  </sheetViews>
  <sheetFormatPr defaultRowHeight="14.4" x14ac:dyDescent="0.3"/>
  <cols>
    <col min="1" max="1" width="12.6640625" style="4" customWidth="1"/>
    <col min="2" max="2" width="102.88671875" style="6" bestFit="1" customWidth="1"/>
    <col min="3" max="3" width="26.5546875" style="6" bestFit="1" customWidth="1"/>
    <col min="4" max="4" width="30.5546875" style="6" bestFit="1" customWidth="1"/>
    <col min="5" max="5" width="20.6640625" style="3" bestFit="1" customWidth="1"/>
    <col min="6" max="6" width="16.44140625" style="3" customWidth="1"/>
    <col min="7" max="7" width="14.88671875" style="3" customWidth="1"/>
  </cols>
  <sheetData>
    <row r="1" spans="1:7" ht="36" x14ac:dyDescent="0.3">
      <c r="A1" s="1" t="s">
        <v>0</v>
      </c>
      <c r="B1" s="1" t="s">
        <v>1</v>
      </c>
      <c r="C1" s="1" t="s">
        <v>2</v>
      </c>
      <c r="D1" s="2" t="s">
        <v>3</v>
      </c>
      <c r="E1" s="1" t="s">
        <v>4</v>
      </c>
      <c r="F1" s="1" t="s">
        <v>5</v>
      </c>
      <c r="G1" s="2" t="s">
        <v>6</v>
      </c>
    </row>
    <row r="2" spans="1:7" ht="409.6" x14ac:dyDescent="0.3">
      <c r="A2" s="4">
        <v>1</v>
      </c>
      <c r="B2" s="5" t="s">
        <v>141</v>
      </c>
      <c r="C2" s="6" t="s">
        <v>46</v>
      </c>
      <c r="D2" s="6" t="s">
        <v>47</v>
      </c>
      <c r="E2" s="6"/>
    </row>
    <row r="3" spans="1:7" ht="72" x14ac:dyDescent="0.3">
      <c r="A3" s="4">
        <v>2</v>
      </c>
      <c r="B3" s="5" t="s">
        <v>120</v>
      </c>
      <c r="C3" s="6" t="s">
        <v>46</v>
      </c>
      <c r="D3" s="6" t="s">
        <v>47</v>
      </c>
      <c r="E3" s="6"/>
    </row>
    <row r="4" spans="1:7" ht="72" x14ac:dyDescent="0.3">
      <c r="A4" s="4">
        <v>3</v>
      </c>
      <c r="B4" s="5" t="s">
        <v>121</v>
      </c>
      <c r="C4" s="6" t="s">
        <v>46</v>
      </c>
      <c r="D4" s="6" t="s">
        <v>47</v>
      </c>
      <c r="E4" s="6"/>
    </row>
    <row r="5" spans="1:7" ht="72" x14ac:dyDescent="0.3">
      <c r="A5" s="4">
        <v>4</v>
      </c>
      <c r="B5" s="5" t="s">
        <v>48</v>
      </c>
      <c r="C5" s="6" t="s">
        <v>46</v>
      </c>
      <c r="D5" s="6" t="s">
        <v>47</v>
      </c>
      <c r="E5" s="6"/>
    </row>
    <row r="6" spans="1:7" ht="72" x14ac:dyDescent="0.3">
      <c r="A6" s="4">
        <v>5</v>
      </c>
      <c r="B6" s="5" t="s">
        <v>122</v>
      </c>
      <c r="C6" s="6" t="s">
        <v>46</v>
      </c>
      <c r="D6" s="6" t="s">
        <v>47</v>
      </c>
      <c r="E6" s="6"/>
    </row>
    <row r="7" spans="1:7" ht="72" x14ac:dyDescent="0.3">
      <c r="A7" s="4">
        <v>6</v>
      </c>
      <c r="B7" s="5" t="s">
        <v>129</v>
      </c>
      <c r="C7" s="6" t="s">
        <v>46</v>
      </c>
      <c r="D7" s="6" t="s">
        <v>47</v>
      </c>
      <c r="E7" s="6"/>
    </row>
    <row r="8" spans="1:7" ht="72" x14ac:dyDescent="0.3">
      <c r="A8" s="4">
        <v>7</v>
      </c>
      <c r="B8" s="5" t="s">
        <v>123</v>
      </c>
      <c r="C8" s="6" t="s">
        <v>46</v>
      </c>
      <c r="D8" s="6" t="s">
        <v>47</v>
      </c>
      <c r="E8" s="6"/>
    </row>
    <row r="9" spans="1:7" ht="72" x14ac:dyDescent="0.3">
      <c r="A9" s="4">
        <v>8</v>
      </c>
      <c r="B9" s="5" t="s">
        <v>130</v>
      </c>
      <c r="C9" s="6" t="s">
        <v>46</v>
      </c>
      <c r="D9" s="6" t="s">
        <v>47</v>
      </c>
    </row>
    <row r="10" spans="1:7" ht="72" x14ac:dyDescent="0.3">
      <c r="A10" s="4">
        <v>9</v>
      </c>
      <c r="B10" s="5" t="s">
        <v>124</v>
      </c>
      <c r="C10" s="6" t="s">
        <v>46</v>
      </c>
      <c r="D10" s="6" t="s">
        <v>47</v>
      </c>
    </row>
    <row r="11" spans="1:7" ht="72" x14ac:dyDescent="0.3">
      <c r="A11" s="4">
        <v>10</v>
      </c>
      <c r="B11" s="5" t="s">
        <v>131</v>
      </c>
      <c r="C11" s="6" t="s">
        <v>46</v>
      </c>
      <c r="D11" s="6" t="s">
        <v>47</v>
      </c>
    </row>
    <row r="12" spans="1:7" ht="72" x14ac:dyDescent="0.3">
      <c r="A12" s="4">
        <v>11</v>
      </c>
      <c r="B12" s="5" t="s">
        <v>132</v>
      </c>
      <c r="C12" s="6" t="s">
        <v>46</v>
      </c>
      <c r="D12" s="6" t="s">
        <v>47</v>
      </c>
    </row>
    <row r="13" spans="1:7" ht="72" x14ac:dyDescent="0.3">
      <c r="A13" s="4">
        <v>12</v>
      </c>
      <c r="B13" s="5" t="s">
        <v>133</v>
      </c>
      <c r="C13" s="6" t="s">
        <v>46</v>
      </c>
      <c r="D13" s="6" t="s">
        <v>47</v>
      </c>
    </row>
    <row r="14" spans="1:7" ht="72" x14ac:dyDescent="0.3">
      <c r="A14" s="4">
        <v>13</v>
      </c>
      <c r="B14" s="5" t="s">
        <v>125</v>
      </c>
      <c r="C14" s="6" t="s">
        <v>46</v>
      </c>
      <c r="D14" s="6" t="s">
        <v>47</v>
      </c>
    </row>
    <row r="15" spans="1:7" ht="72" x14ac:dyDescent="0.3">
      <c r="A15" s="4">
        <v>14</v>
      </c>
      <c r="B15" s="5" t="s">
        <v>134</v>
      </c>
      <c r="C15" s="6" t="s">
        <v>46</v>
      </c>
      <c r="D15" s="6" t="s">
        <v>47</v>
      </c>
    </row>
    <row r="16" spans="1:7" ht="72" x14ac:dyDescent="0.3">
      <c r="A16" s="4">
        <v>15</v>
      </c>
      <c r="B16" s="5" t="s">
        <v>135</v>
      </c>
      <c r="C16" s="6" t="s">
        <v>46</v>
      </c>
      <c r="D16" s="6" t="s">
        <v>47</v>
      </c>
    </row>
    <row r="17" spans="1:4" ht="72" x14ac:dyDescent="0.3">
      <c r="A17" s="4">
        <v>16</v>
      </c>
      <c r="B17" s="5" t="s">
        <v>136</v>
      </c>
      <c r="C17" s="6" t="s">
        <v>46</v>
      </c>
      <c r="D17" s="6" t="s">
        <v>47</v>
      </c>
    </row>
    <row r="18" spans="1:4" ht="72" x14ac:dyDescent="0.3">
      <c r="A18" s="4">
        <v>17</v>
      </c>
      <c r="B18" s="5" t="s">
        <v>137</v>
      </c>
      <c r="C18" s="6" t="s">
        <v>46</v>
      </c>
      <c r="D18" s="6" t="s">
        <v>47</v>
      </c>
    </row>
    <row r="19" spans="1:4" ht="72" x14ac:dyDescent="0.3">
      <c r="A19" s="4">
        <v>18</v>
      </c>
      <c r="B19" s="5" t="s">
        <v>138</v>
      </c>
      <c r="C19" s="6" t="s">
        <v>46</v>
      </c>
      <c r="D19" s="6" t="s">
        <v>47</v>
      </c>
    </row>
    <row r="20" spans="1:4" ht="72" x14ac:dyDescent="0.3">
      <c r="A20" s="4">
        <v>19</v>
      </c>
      <c r="B20" s="5" t="s">
        <v>139</v>
      </c>
      <c r="C20" s="6" t="s">
        <v>46</v>
      </c>
      <c r="D20" s="6" t="s">
        <v>47</v>
      </c>
    </row>
    <row r="21" spans="1:4" ht="72" x14ac:dyDescent="0.3">
      <c r="A21" s="4">
        <v>20</v>
      </c>
      <c r="B21" s="5" t="s">
        <v>140</v>
      </c>
      <c r="C21" s="6" t="s">
        <v>46</v>
      </c>
      <c r="D21" s="6" t="s">
        <v>47</v>
      </c>
    </row>
    <row r="22" spans="1:4" ht="72" x14ac:dyDescent="0.3">
      <c r="A22" s="4">
        <v>21</v>
      </c>
      <c r="B22" s="5" t="s">
        <v>126</v>
      </c>
      <c r="C22" s="6" t="s">
        <v>46</v>
      </c>
      <c r="D22" s="6" t="s">
        <v>47</v>
      </c>
    </row>
    <row r="23" spans="1:4" ht="72" x14ac:dyDescent="0.3">
      <c r="A23" s="4">
        <v>22</v>
      </c>
      <c r="B23" s="5" t="s">
        <v>127</v>
      </c>
      <c r="C23" s="6" t="s">
        <v>46</v>
      </c>
      <c r="D23" s="6" t="s">
        <v>47</v>
      </c>
    </row>
    <row r="24" spans="1:4" ht="72" x14ac:dyDescent="0.3">
      <c r="A24" s="4">
        <v>23</v>
      </c>
      <c r="B24" s="5" t="s">
        <v>128</v>
      </c>
      <c r="C24" s="6" t="s">
        <v>46</v>
      </c>
      <c r="D24" s="6" t="s">
        <v>47</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82"/>
  <sheetViews>
    <sheetView topLeftCell="O1" zoomScale="90" zoomScaleNormal="90" workbookViewId="0">
      <selection activeCell="AA3" sqref="AA3"/>
    </sheetView>
  </sheetViews>
  <sheetFormatPr defaultRowHeight="14.4" x14ac:dyDescent="0.3"/>
  <cols>
    <col min="2" max="2" width="11.44140625" bestFit="1" customWidth="1"/>
    <col min="3" max="3" width="10" bestFit="1" customWidth="1"/>
    <col min="6" max="6" width="11.33203125" bestFit="1" customWidth="1"/>
    <col min="7" max="7" width="10.88671875" bestFit="1" customWidth="1"/>
    <col min="8" max="8" width="12.5546875" bestFit="1" customWidth="1"/>
    <col min="9" max="13" width="12.5546875" customWidth="1"/>
    <col min="15" max="15" width="12.5546875" bestFit="1" customWidth="1"/>
    <col min="16" max="16" width="11.5546875" bestFit="1" customWidth="1"/>
    <col min="17" max="17" width="13.109375" bestFit="1" customWidth="1"/>
    <col min="18" max="18" width="18.109375" bestFit="1" customWidth="1"/>
    <col min="19" max="19" width="10.5546875" bestFit="1" customWidth="1"/>
    <col min="20" max="20" width="10.44140625" bestFit="1" customWidth="1"/>
    <col min="21" max="30" width="10.44140625" customWidth="1"/>
    <col min="31" max="31" width="13.5546875" bestFit="1" customWidth="1"/>
  </cols>
  <sheetData>
    <row r="1" spans="1:32" ht="25.8" x14ac:dyDescent="0.5">
      <c r="A1" s="24" t="s">
        <v>36</v>
      </c>
      <c r="B1" s="25"/>
      <c r="C1" s="25"/>
      <c r="D1" s="25"/>
      <c r="E1" s="25"/>
      <c r="F1" s="25"/>
      <c r="G1" s="25"/>
      <c r="H1" s="25"/>
      <c r="I1" s="25"/>
      <c r="J1" s="25"/>
      <c r="K1" s="25"/>
      <c r="L1" s="25"/>
      <c r="M1" s="25"/>
      <c r="O1" s="24" t="s">
        <v>37</v>
      </c>
      <c r="P1" s="26"/>
      <c r="Q1" s="26"/>
      <c r="R1" s="26"/>
      <c r="S1" s="26"/>
      <c r="T1" s="26"/>
      <c r="U1" s="26"/>
      <c r="V1" s="26"/>
      <c r="W1" s="26"/>
      <c r="X1" s="26"/>
      <c r="Y1" s="26"/>
      <c r="Z1" s="26"/>
      <c r="AA1" s="26"/>
      <c r="AB1" s="26"/>
      <c r="AC1" s="26"/>
      <c r="AD1" s="26"/>
    </row>
    <row r="2" spans="1:32" ht="86.4" x14ac:dyDescent="0.3">
      <c r="A2" s="14" t="s">
        <v>9</v>
      </c>
      <c r="B2" s="14" t="s">
        <v>10</v>
      </c>
      <c r="C2" s="14" t="s">
        <v>11</v>
      </c>
      <c r="D2" s="14" t="s">
        <v>12</v>
      </c>
      <c r="E2" s="14" t="s">
        <v>13</v>
      </c>
      <c r="F2" s="14" t="s">
        <v>14</v>
      </c>
      <c r="G2" s="14" t="s">
        <v>15</v>
      </c>
      <c r="H2" s="14" t="s">
        <v>16</v>
      </c>
      <c r="I2" s="14" t="s">
        <v>17</v>
      </c>
      <c r="J2" s="14" t="s">
        <v>18</v>
      </c>
      <c r="K2" s="14" t="s">
        <v>19</v>
      </c>
      <c r="L2" s="14" t="s">
        <v>20</v>
      </c>
      <c r="M2" s="14" t="s">
        <v>21</v>
      </c>
      <c r="N2" s="7"/>
      <c r="O2" s="12" t="s">
        <v>22</v>
      </c>
      <c r="P2" s="12" t="s">
        <v>23</v>
      </c>
      <c r="Q2" s="12" t="s">
        <v>24</v>
      </c>
      <c r="R2" s="12" t="s">
        <v>25</v>
      </c>
      <c r="S2" s="12" t="s">
        <v>26</v>
      </c>
      <c r="T2" s="12" t="s">
        <v>27</v>
      </c>
      <c r="U2" s="13" t="s">
        <v>7</v>
      </c>
      <c r="V2" s="13" t="s">
        <v>8</v>
      </c>
      <c r="W2" s="12" t="s">
        <v>28</v>
      </c>
      <c r="X2" s="12" t="s">
        <v>29</v>
      </c>
      <c r="Y2" s="12" t="s">
        <v>30</v>
      </c>
      <c r="Z2" s="12" t="s">
        <v>31</v>
      </c>
      <c r="AA2" s="12" t="s">
        <v>32</v>
      </c>
      <c r="AB2" s="12" t="s">
        <v>33</v>
      </c>
      <c r="AC2" s="12" t="s">
        <v>34</v>
      </c>
      <c r="AD2" s="12" t="s">
        <v>35</v>
      </c>
      <c r="AE2" s="7"/>
      <c r="AF2" s="7"/>
    </row>
    <row r="3" spans="1:32" x14ac:dyDescent="0.3">
      <c r="A3" s="9">
        <v>2</v>
      </c>
      <c r="B3">
        <v>140</v>
      </c>
      <c r="C3">
        <v>85</v>
      </c>
      <c r="D3">
        <v>6000</v>
      </c>
      <c r="E3">
        <v>3000</v>
      </c>
      <c r="F3">
        <v>40</v>
      </c>
      <c r="G3">
        <v>40</v>
      </c>
      <c r="H3">
        <v>50</v>
      </c>
      <c r="I3">
        <v>0</v>
      </c>
      <c r="J3">
        <v>0</v>
      </c>
      <c r="K3">
        <v>0</v>
      </c>
      <c r="L3">
        <v>0</v>
      </c>
      <c r="M3">
        <v>0</v>
      </c>
      <c r="O3">
        <f t="shared" ref="O3:P9" si="0">LPS_AREA_1(B3)</f>
        <v>15386</v>
      </c>
      <c r="P3">
        <f t="shared" si="0"/>
        <v>5671.625</v>
      </c>
      <c r="Q3">
        <f t="shared" ref="Q3:Q9" si="1">HEFLOWCONST(O3,A3)</f>
        <v>1.84632</v>
      </c>
      <c r="R3">
        <f>RetoHeflowRatio(O3,P3)</f>
        <v>0.63137755102040816</v>
      </c>
      <c r="S3">
        <f t="shared" ref="S3:S9" si="2">G3*Q3</f>
        <v>73.852800000000002</v>
      </c>
      <c r="T3">
        <f>R3*S3</f>
        <v>46.628999999999998</v>
      </c>
      <c r="U3">
        <v>2.3450401999999999E-2</v>
      </c>
      <c r="V3">
        <v>857.8</v>
      </c>
      <c r="W3">
        <f>I3*V3</f>
        <v>0</v>
      </c>
      <c r="X3">
        <f>J3*U3</f>
        <v>0</v>
      </c>
      <c r="Y3">
        <f t="shared" ref="X3:Y9" si="3">K3*V3</f>
        <v>0</v>
      </c>
      <c r="Z3">
        <f t="shared" ref="Z3:Z9" si="4">L3*U3</f>
        <v>0</v>
      </c>
      <c r="AA3">
        <f t="shared" ref="AA3:AA9" si="5">IF(S3&gt;0,D3-(S3*S3*W3+S3*X3),D3-(S3*S3*W3-S3*X3))</f>
        <v>6000</v>
      </c>
      <c r="AB3">
        <f t="shared" ref="AB3:AB9" si="6">IF(T3&gt;0,E3-(T3*T3*Y3+T3*Y3),E3-(T3*T3*Y3-T3*Y3))</f>
        <v>3000</v>
      </c>
      <c r="AC3">
        <f>DIFF_PRES_FINAL(R3,AB3)</f>
        <v>1894.1326530612246</v>
      </c>
      <c r="AD3">
        <f>IF(AA3&gt;AC3,AA3-AC3,0)</f>
        <v>4105.8673469387759</v>
      </c>
    </row>
    <row r="4" spans="1:32" x14ac:dyDescent="0.3">
      <c r="A4" s="9">
        <v>2</v>
      </c>
      <c r="B4">
        <v>140</v>
      </c>
      <c r="C4">
        <v>85</v>
      </c>
      <c r="D4">
        <f>D3+100</f>
        <v>6100</v>
      </c>
      <c r="E4">
        <v>3000</v>
      </c>
      <c r="F4">
        <v>40</v>
      </c>
      <c r="G4">
        <v>40</v>
      </c>
      <c r="H4">
        <v>50</v>
      </c>
      <c r="I4">
        <v>0</v>
      </c>
      <c r="J4">
        <v>0</v>
      </c>
      <c r="K4">
        <v>0</v>
      </c>
      <c r="L4">
        <v>0</v>
      </c>
      <c r="M4">
        <v>0</v>
      </c>
      <c r="O4">
        <f t="shared" si="0"/>
        <v>15386</v>
      </c>
      <c r="P4">
        <f t="shared" si="0"/>
        <v>5671.625</v>
      </c>
      <c r="Q4">
        <f t="shared" si="1"/>
        <v>1.84632</v>
      </c>
      <c r="R4">
        <f t="shared" ref="R4:R53" si="7">RetoHeflowRatio(O4,P4)</f>
        <v>0.63137755102040816</v>
      </c>
      <c r="S4">
        <f t="shared" si="2"/>
        <v>73.852800000000002</v>
      </c>
      <c r="T4">
        <f t="shared" ref="T4:T53" si="8">R4*S4</f>
        <v>46.628999999999998</v>
      </c>
      <c r="U4">
        <v>2.3450401999999999E-2</v>
      </c>
      <c r="V4">
        <v>857.8</v>
      </c>
      <c r="W4">
        <f t="shared" ref="W4:W9" si="9">I4*V4</f>
        <v>0</v>
      </c>
      <c r="X4">
        <f t="shared" si="3"/>
        <v>0</v>
      </c>
      <c r="Y4">
        <f t="shared" si="3"/>
        <v>0</v>
      </c>
      <c r="Z4">
        <f t="shared" si="4"/>
        <v>0</v>
      </c>
      <c r="AA4">
        <f t="shared" si="5"/>
        <v>6100</v>
      </c>
      <c r="AB4">
        <f t="shared" si="6"/>
        <v>3000</v>
      </c>
      <c r="AC4">
        <f>DIFF_PRES_FINAL(R4,AB4)</f>
        <v>1894.1326530612246</v>
      </c>
      <c r="AD4">
        <f>IF(AA4&gt;AC4,AA4-AC4,0)</f>
        <v>4205.8673469387759</v>
      </c>
    </row>
    <row r="5" spans="1:32" x14ac:dyDescent="0.3">
      <c r="A5" s="9">
        <v>2</v>
      </c>
      <c r="B5">
        <v>140</v>
      </c>
      <c r="C5">
        <v>85</v>
      </c>
      <c r="D5">
        <f>D4+100</f>
        <v>6200</v>
      </c>
      <c r="E5">
        <v>3000</v>
      </c>
      <c r="F5">
        <v>40</v>
      </c>
      <c r="G5">
        <v>40</v>
      </c>
      <c r="H5">
        <v>50</v>
      </c>
      <c r="I5">
        <v>0</v>
      </c>
      <c r="J5">
        <v>0</v>
      </c>
      <c r="K5">
        <v>0</v>
      </c>
      <c r="L5">
        <v>0</v>
      </c>
      <c r="M5">
        <v>0</v>
      </c>
      <c r="O5">
        <f t="shared" si="0"/>
        <v>15386</v>
      </c>
      <c r="P5">
        <f t="shared" si="0"/>
        <v>5671.625</v>
      </c>
      <c r="Q5">
        <f t="shared" si="1"/>
        <v>1.84632</v>
      </c>
      <c r="R5">
        <f t="shared" si="7"/>
        <v>0.63137755102040816</v>
      </c>
      <c r="S5">
        <f t="shared" si="2"/>
        <v>73.852800000000002</v>
      </c>
      <c r="T5">
        <f t="shared" si="8"/>
        <v>46.628999999999998</v>
      </c>
      <c r="U5">
        <v>2.3450401999999999E-2</v>
      </c>
      <c r="V5">
        <v>857.8</v>
      </c>
      <c r="W5">
        <f t="shared" si="9"/>
        <v>0</v>
      </c>
      <c r="X5">
        <f t="shared" si="3"/>
        <v>0</v>
      </c>
      <c r="Y5">
        <f t="shared" si="3"/>
        <v>0</v>
      </c>
      <c r="Z5">
        <f t="shared" si="4"/>
        <v>0</v>
      </c>
      <c r="AA5">
        <f t="shared" si="5"/>
        <v>6200</v>
      </c>
      <c r="AB5">
        <f t="shared" si="6"/>
        <v>3000</v>
      </c>
      <c r="AC5">
        <f t="shared" ref="AC5:AC15" si="10">DIFF_PRES_FINAL(R5,AB5)</f>
        <v>1894.1326530612246</v>
      </c>
      <c r="AD5">
        <f t="shared" ref="AD5:AD53" si="11">IF(AA5&gt;AC5,AA5-AC5,0)</f>
        <v>4305.8673469387759</v>
      </c>
    </row>
    <row r="6" spans="1:32" x14ac:dyDescent="0.3">
      <c r="A6" s="9">
        <v>2</v>
      </c>
      <c r="B6">
        <v>140</v>
      </c>
      <c r="C6">
        <v>85</v>
      </c>
      <c r="D6">
        <f>D5+100</f>
        <v>6300</v>
      </c>
      <c r="E6">
        <v>3000</v>
      </c>
      <c r="F6">
        <v>40</v>
      </c>
      <c r="G6">
        <v>40</v>
      </c>
      <c r="H6">
        <v>50</v>
      </c>
      <c r="I6">
        <v>0</v>
      </c>
      <c r="J6">
        <v>0</v>
      </c>
      <c r="K6">
        <v>0</v>
      </c>
      <c r="L6">
        <v>0</v>
      </c>
      <c r="M6">
        <v>0</v>
      </c>
      <c r="O6">
        <f t="shared" si="0"/>
        <v>15386</v>
      </c>
      <c r="P6">
        <f t="shared" si="0"/>
        <v>5671.625</v>
      </c>
      <c r="Q6">
        <f t="shared" si="1"/>
        <v>1.84632</v>
      </c>
      <c r="R6">
        <f t="shared" si="7"/>
        <v>0.63137755102040816</v>
      </c>
      <c r="S6">
        <f t="shared" si="2"/>
        <v>73.852800000000002</v>
      </c>
      <c r="T6">
        <f t="shared" si="8"/>
        <v>46.628999999999998</v>
      </c>
      <c r="U6">
        <v>2.3450401999999999E-2</v>
      </c>
      <c r="V6">
        <v>857.8</v>
      </c>
      <c r="W6">
        <f t="shared" si="9"/>
        <v>0</v>
      </c>
      <c r="X6">
        <f t="shared" si="3"/>
        <v>0</v>
      </c>
      <c r="Y6">
        <f t="shared" si="3"/>
        <v>0</v>
      </c>
      <c r="Z6">
        <f t="shared" si="4"/>
        <v>0</v>
      </c>
      <c r="AA6">
        <f t="shared" si="5"/>
        <v>6300</v>
      </c>
      <c r="AB6">
        <f t="shared" si="6"/>
        <v>3000</v>
      </c>
      <c r="AC6">
        <f t="shared" si="10"/>
        <v>1894.1326530612246</v>
      </c>
      <c r="AD6">
        <f t="shared" si="11"/>
        <v>4405.8673469387759</v>
      </c>
    </row>
    <row r="7" spans="1:32" x14ac:dyDescent="0.3">
      <c r="A7" s="9">
        <v>2</v>
      </c>
      <c r="B7">
        <v>140</v>
      </c>
      <c r="C7">
        <v>85</v>
      </c>
      <c r="D7">
        <f t="shared" ref="D7" si="12">D6+100</f>
        <v>6400</v>
      </c>
      <c r="E7">
        <v>3000</v>
      </c>
      <c r="F7">
        <v>40</v>
      </c>
      <c r="G7">
        <v>40</v>
      </c>
      <c r="H7">
        <v>50</v>
      </c>
      <c r="I7">
        <v>0</v>
      </c>
      <c r="J7">
        <v>0</v>
      </c>
      <c r="K7">
        <v>0</v>
      </c>
      <c r="L7">
        <v>0</v>
      </c>
      <c r="M7">
        <v>0</v>
      </c>
      <c r="O7">
        <f t="shared" si="0"/>
        <v>15386</v>
      </c>
      <c r="P7">
        <f t="shared" si="0"/>
        <v>5671.625</v>
      </c>
      <c r="Q7">
        <f t="shared" si="1"/>
        <v>1.84632</v>
      </c>
      <c r="R7">
        <f t="shared" si="7"/>
        <v>0.63137755102040816</v>
      </c>
      <c r="S7">
        <f t="shared" si="2"/>
        <v>73.852800000000002</v>
      </c>
      <c r="T7">
        <f t="shared" si="8"/>
        <v>46.628999999999998</v>
      </c>
      <c r="U7">
        <v>2.3450401999999999E-2</v>
      </c>
      <c r="V7">
        <v>857.8</v>
      </c>
      <c r="W7">
        <f t="shared" si="9"/>
        <v>0</v>
      </c>
      <c r="X7">
        <f t="shared" si="3"/>
        <v>0</v>
      </c>
      <c r="Y7">
        <f t="shared" si="3"/>
        <v>0</v>
      </c>
      <c r="Z7">
        <f t="shared" si="4"/>
        <v>0</v>
      </c>
      <c r="AA7">
        <f t="shared" si="5"/>
        <v>6400</v>
      </c>
      <c r="AB7">
        <f t="shared" si="6"/>
        <v>3000</v>
      </c>
      <c r="AC7">
        <f t="shared" si="10"/>
        <v>1894.1326530612246</v>
      </c>
      <c r="AD7">
        <f t="shared" si="11"/>
        <v>4505.8673469387759</v>
      </c>
    </row>
    <row r="8" spans="1:32" x14ac:dyDescent="0.3">
      <c r="A8" s="10">
        <v>2</v>
      </c>
      <c r="B8">
        <v>140</v>
      </c>
      <c r="C8">
        <v>85</v>
      </c>
      <c r="D8">
        <v>6000</v>
      </c>
      <c r="E8">
        <v>3100</v>
      </c>
      <c r="F8">
        <v>40</v>
      </c>
      <c r="G8">
        <v>40</v>
      </c>
      <c r="H8">
        <v>50</v>
      </c>
      <c r="I8">
        <v>0</v>
      </c>
      <c r="J8">
        <v>0</v>
      </c>
      <c r="K8">
        <v>0</v>
      </c>
      <c r="L8">
        <v>0</v>
      </c>
      <c r="M8">
        <v>0</v>
      </c>
      <c r="O8">
        <f t="shared" si="0"/>
        <v>15386</v>
      </c>
      <c r="P8">
        <f t="shared" si="0"/>
        <v>5671.625</v>
      </c>
      <c r="Q8">
        <f t="shared" si="1"/>
        <v>1.84632</v>
      </c>
      <c r="R8">
        <f t="shared" si="7"/>
        <v>0.63137755102040816</v>
      </c>
      <c r="S8">
        <f t="shared" si="2"/>
        <v>73.852800000000002</v>
      </c>
      <c r="T8">
        <f t="shared" si="8"/>
        <v>46.628999999999998</v>
      </c>
      <c r="U8">
        <v>2.3450401999999999E-2</v>
      </c>
      <c r="V8">
        <v>857.8</v>
      </c>
      <c r="W8">
        <f t="shared" si="9"/>
        <v>0</v>
      </c>
      <c r="X8">
        <f t="shared" si="3"/>
        <v>0</v>
      </c>
      <c r="Y8">
        <f t="shared" si="3"/>
        <v>0</v>
      </c>
      <c r="Z8">
        <f t="shared" si="4"/>
        <v>0</v>
      </c>
      <c r="AA8">
        <f t="shared" si="5"/>
        <v>6000</v>
      </c>
      <c r="AB8">
        <f t="shared" si="6"/>
        <v>3100</v>
      </c>
      <c r="AC8">
        <f t="shared" si="10"/>
        <v>1957.2704081632653</v>
      </c>
      <c r="AD8">
        <f t="shared" si="11"/>
        <v>4042.7295918367345</v>
      </c>
    </row>
    <row r="9" spans="1:32" x14ac:dyDescent="0.3">
      <c r="A9" s="10">
        <v>2</v>
      </c>
      <c r="B9">
        <v>140</v>
      </c>
      <c r="C9">
        <v>85</v>
      </c>
      <c r="D9">
        <v>6000</v>
      </c>
      <c r="E9">
        <f>E8+100</f>
        <v>3200</v>
      </c>
      <c r="F9">
        <v>40</v>
      </c>
      <c r="G9">
        <v>40</v>
      </c>
      <c r="H9">
        <v>50</v>
      </c>
      <c r="I9">
        <v>0</v>
      </c>
      <c r="J9">
        <v>0</v>
      </c>
      <c r="K9">
        <v>0</v>
      </c>
      <c r="L9">
        <v>0</v>
      </c>
      <c r="M9">
        <v>0</v>
      </c>
      <c r="O9">
        <f t="shared" si="0"/>
        <v>15386</v>
      </c>
      <c r="P9">
        <f t="shared" si="0"/>
        <v>5671.625</v>
      </c>
      <c r="Q9">
        <f t="shared" si="1"/>
        <v>1.84632</v>
      </c>
      <c r="R9">
        <f t="shared" si="7"/>
        <v>0.63137755102040816</v>
      </c>
      <c r="S9">
        <f t="shared" si="2"/>
        <v>73.852800000000002</v>
      </c>
      <c r="T9">
        <f t="shared" si="8"/>
        <v>46.628999999999998</v>
      </c>
      <c r="U9">
        <v>2.3450401999999999E-2</v>
      </c>
      <c r="V9">
        <v>857.8</v>
      </c>
      <c r="W9">
        <f t="shared" si="9"/>
        <v>0</v>
      </c>
      <c r="X9">
        <f t="shared" si="3"/>
        <v>0</v>
      </c>
      <c r="Y9">
        <f t="shared" si="3"/>
        <v>0</v>
      </c>
      <c r="Z9">
        <f t="shared" si="4"/>
        <v>0</v>
      </c>
      <c r="AA9">
        <f t="shared" si="5"/>
        <v>6000</v>
      </c>
      <c r="AB9">
        <f t="shared" si="6"/>
        <v>3200</v>
      </c>
      <c r="AC9">
        <f t="shared" si="10"/>
        <v>2020.408163265306</v>
      </c>
      <c r="AD9">
        <f t="shared" si="11"/>
        <v>3979.591836734694</v>
      </c>
    </row>
    <row r="10" spans="1:32" x14ac:dyDescent="0.3">
      <c r="A10" s="10">
        <v>2</v>
      </c>
      <c r="B10">
        <v>140</v>
      </c>
      <c r="C10">
        <v>85</v>
      </c>
      <c r="D10">
        <v>6000</v>
      </c>
      <c r="E10">
        <f t="shared" ref="E10:E12" si="13">E9+100</f>
        <v>3300</v>
      </c>
      <c r="F10">
        <v>40</v>
      </c>
      <c r="G10">
        <v>40</v>
      </c>
      <c r="H10">
        <v>50</v>
      </c>
      <c r="I10">
        <v>0</v>
      </c>
      <c r="J10">
        <v>0</v>
      </c>
      <c r="K10">
        <v>0</v>
      </c>
      <c r="L10">
        <v>0</v>
      </c>
      <c r="M10">
        <v>0</v>
      </c>
      <c r="O10">
        <f t="shared" ref="O10:O53" si="14">LPS_AREA_1(B10)</f>
        <v>15386</v>
      </c>
      <c r="P10">
        <f t="shared" ref="P10:P53" si="15">LPS_AREA_1(C10)</f>
        <v>5671.625</v>
      </c>
      <c r="Q10">
        <f t="shared" ref="Q10:Q53" si="16">HEFLOWCONST(O10,A10)</f>
        <v>1.84632</v>
      </c>
      <c r="R10">
        <f t="shared" si="7"/>
        <v>0.63137755102040816</v>
      </c>
      <c r="S10">
        <f t="shared" ref="S10:S53" si="17">G10*Q10</f>
        <v>73.852800000000002</v>
      </c>
      <c r="T10">
        <f t="shared" si="8"/>
        <v>46.628999999999998</v>
      </c>
      <c r="U10">
        <v>2.3450401999999999E-2</v>
      </c>
      <c r="V10">
        <v>857.8</v>
      </c>
      <c r="W10">
        <f t="shared" ref="W10:W53" si="18">I10*V10</f>
        <v>0</v>
      </c>
      <c r="X10">
        <f t="shared" ref="X10:X53" si="19">J10*U10</f>
        <v>0</v>
      </c>
      <c r="Y10">
        <f t="shared" ref="Y10:Y53" si="20">K10*V10</f>
        <v>0</v>
      </c>
      <c r="Z10">
        <f t="shared" ref="Z10:Z53" si="21">L10*U10</f>
        <v>0</v>
      </c>
      <c r="AA10">
        <f t="shared" ref="AA10:AA53" si="22">IF(S10&gt;0,D10-(S10*S10*W10+S10*X10),D10-(S10*S10*W10-S10*X10))</f>
        <v>6000</v>
      </c>
      <c r="AB10">
        <f t="shared" ref="AB10:AB15" si="23">IF(T10&gt;0,E10-(T10*T10*Y10+T10*Y10),E10-(T10*T10*Y10-T10*Y10))</f>
        <v>3300</v>
      </c>
      <c r="AC10">
        <f t="shared" si="10"/>
        <v>2083.545918367347</v>
      </c>
      <c r="AD10">
        <f t="shared" si="11"/>
        <v>3916.454081632653</v>
      </c>
    </row>
    <row r="11" spans="1:32" x14ac:dyDescent="0.3">
      <c r="A11" s="10">
        <v>2</v>
      </c>
      <c r="B11">
        <v>140</v>
      </c>
      <c r="C11">
        <v>85</v>
      </c>
      <c r="D11">
        <v>6000</v>
      </c>
      <c r="E11">
        <f t="shared" si="13"/>
        <v>3400</v>
      </c>
      <c r="F11">
        <v>40</v>
      </c>
      <c r="G11">
        <v>40</v>
      </c>
      <c r="H11">
        <v>50</v>
      </c>
      <c r="I11">
        <v>0</v>
      </c>
      <c r="J11">
        <v>0</v>
      </c>
      <c r="K11">
        <v>0</v>
      </c>
      <c r="L11">
        <v>0</v>
      </c>
      <c r="M11">
        <v>0</v>
      </c>
      <c r="O11">
        <f t="shared" si="14"/>
        <v>15386</v>
      </c>
      <c r="P11">
        <f t="shared" si="15"/>
        <v>5671.625</v>
      </c>
      <c r="Q11">
        <f t="shared" si="16"/>
        <v>1.84632</v>
      </c>
      <c r="R11">
        <f t="shared" si="7"/>
        <v>0.63137755102040816</v>
      </c>
      <c r="S11">
        <f t="shared" si="17"/>
        <v>73.852800000000002</v>
      </c>
      <c r="T11">
        <f t="shared" si="8"/>
        <v>46.628999999999998</v>
      </c>
      <c r="U11">
        <v>2.3450401999999999E-2</v>
      </c>
      <c r="V11">
        <v>857.8</v>
      </c>
      <c r="W11">
        <f t="shared" si="18"/>
        <v>0</v>
      </c>
      <c r="X11">
        <f t="shared" si="19"/>
        <v>0</v>
      </c>
      <c r="Y11">
        <f t="shared" si="20"/>
        <v>0</v>
      </c>
      <c r="Z11">
        <f t="shared" si="21"/>
        <v>0</v>
      </c>
      <c r="AA11">
        <f t="shared" si="22"/>
        <v>6000</v>
      </c>
      <c r="AB11">
        <f t="shared" si="23"/>
        <v>3400</v>
      </c>
      <c r="AC11">
        <f t="shared" si="10"/>
        <v>2146.6836734693879</v>
      </c>
      <c r="AD11">
        <f t="shared" si="11"/>
        <v>3853.3163265306121</v>
      </c>
    </row>
    <row r="12" spans="1:32" x14ac:dyDescent="0.3">
      <c r="A12" s="10">
        <v>2</v>
      </c>
      <c r="B12">
        <v>140</v>
      </c>
      <c r="C12">
        <v>85</v>
      </c>
      <c r="D12">
        <v>6000</v>
      </c>
      <c r="E12">
        <f t="shared" si="13"/>
        <v>3500</v>
      </c>
      <c r="F12">
        <v>40</v>
      </c>
      <c r="G12">
        <v>40</v>
      </c>
      <c r="H12">
        <v>50</v>
      </c>
      <c r="I12">
        <v>0</v>
      </c>
      <c r="J12">
        <v>0</v>
      </c>
      <c r="K12">
        <v>0</v>
      </c>
      <c r="L12">
        <v>0</v>
      </c>
      <c r="M12">
        <v>0</v>
      </c>
      <c r="O12">
        <f t="shared" si="14"/>
        <v>15386</v>
      </c>
      <c r="P12">
        <f t="shared" si="15"/>
        <v>5671.625</v>
      </c>
      <c r="Q12">
        <f t="shared" si="16"/>
        <v>1.84632</v>
      </c>
      <c r="R12">
        <f t="shared" si="7"/>
        <v>0.63137755102040816</v>
      </c>
      <c r="S12">
        <f t="shared" si="17"/>
        <v>73.852800000000002</v>
      </c>
      <c r="T12">
        <f t="shared" si="8"/>
        <v>46.628999999999998</v>
      </c>
      <c r="U12">
        <v>2.3450401999999999E-2</v>
      </c>
      <c r="V12">
        <v>857.8</v>
      </c>
      <c r="W12">
        <f t="shared" si="18"/>
        <v>0</v>
      </c>
      <c r="X12">
        <f t="shared" si="19"/>
        <v>0</v>
      </c>
      <c r="Y12">
        <f t="shared" si="20"/>
        <v>0</v>
      </c>
      <c r="Z12">
        <f t="shared" si="21"/>
        <v>0</v>
      </c>
      <c r="AA12">
        <f t="shared" si="22"/>
        <v>6000</v>
      </c>
      <c r="AB12">
        <f t="shared" si="23"/>
        <v>3500</v>
      </c>
      <c r="AC12">
        <f t="shared" si="10"/>
        <v>2209.8214285714284</v>
      </c>
      <c r="AD12">
        <f t="shared" si="11"/>
        <v>3790.1785714285716</v>
      </c>
    </row>
    <row r="13" spans="1:32" x14ac:dyDescent="0.3">
      <c r="A13" s="9">
        <v>2</v>
      </c>
      <c r="B13">
        <v>140</v>
      </c>
      <c r="C13">
        <v>85</v>
      </c>
      <c r="D13">
        <v>6000</v>
      </c>
      <c r="E13">
        <v>3000</v>
      </c>
      <c r="F13">
        <v>40</v>
      </c>
      <c r="G13">
        <v>51</v>
      </c>
      <c r="H13">
        <v>50</v>
      </c>
      <c r="I13">
        <v>0</v>
      </c>
      <c r="J13">
        <v>0</v>
      </c>
      <c r="K13">
        <v>0</v>
      </c>
      <c r="L13">
        <v>0</v>
      </c>
      <c r="M13">
        <v>0</v>
      </c>
      <c r="O13">
        <f t="shared" si="14"/>
        <v>15386</v>
      </c>
      <c r="P13">
        <f t="shared" si="15"/>
        <v>5671.625</v>
      </c>
      <c r="Q13">
        <f t="shared" si="16"/>
        <v>1.84632</v>
      </c>
      <c r="R13">
        <f t="shared" si="7"/>
        <v>0.63137755102040816</v>
      </c>
      <c r="S13">
        <f t="shared" si="17"/>
        <v>94.162319999999994</v>
      </c>
      <c r="T13">
        <f t="shared" si="8"/>
        <v>59.451974999999997</v>
      </c>
      <c r="U13">
        <v>2.3450401999999999E-2</v>
      </c>
      <c r="V13">
        <v>857.8</v>
      </c>
      <c r="W13">
        <f t="shared" si="18"/>
        <v>0</v>
      </c>
      <c r="X13">
        <f t="shared" si="19"/>
        <v>0</v>
      </c>
      <c r="Y13">
        <f t="shared" si="20"/>
        <v>0</v>
      </c>
      <c r="Z13">
        <f t="shared" si="21"/>
        <v>0</v>
      </c>
      <c r="AA13">
        <f t="shared" si="22"/>
        <v>6000</v>
      </c>
      <c r="AB13">
        <f t="shared" si="23"/>
        <v>3000</v>
      </c>
      <c r="AC13">
        <f t="shared" si="10"/>
        <v>1894.1326530612246</v>
      </c>
      <c r="AD13">
        <f t="shared" si="11"/>
        <v>4105.8673469387759</v>
      </c>
    </row>
    <row r="14" spans="1:32" x14ac:dyDescent="0.3">
      <c r="A14" s="9">
        <v>2</v>
      </c>
      <c r="B14">
        <v>140</v>
      </c>
      <c r="C14">
        <v>85</v>
      </c>
      <c r="D14">
        <v>6000</v>
      </c>
      <c r="E14">
        <v>3000</v>
      </c>
      <c r="F14">
        <v>40</v>
      </c>
      <c r="G14">
        <f>G13+1</f>
        <v>52</v>
      </c>
      <c r="H14">
        <v>50</v>
      </c>
      <c r="I14">
        <v>0</v>
      </c>
      <c r="J14">
        <v>0</v>
      </c>
      <c r="K14">
        <v>0</v>
      </c>
      <c r="L14">
        <v>0</v>
      </c>
      <c r="M14">
        <v>0</v>
      </c>
      <c r="O14">
        <f t="shared" si="14"/>
        <v>15386</v>
      </c>
      <c r="P14">
        <f t="shared" si="15"/>
        <v>5671.625</v>
      </c>
      <c r="Q14">
        <f t="shared" si="16"/>
        <v>1.84632</v>
      </c>
      <c r="R14">
        <f t="shared" si="7"/>
        <v>0.63137755102040816</v>
      </c>
      <c r="S14">
        <f t="shared" si="17"/>
        <v>96.00864</v>
      </c>
      <c r="T14">
        <f t="shared" si="8"/>
        <v>60.617699999999999</v>
      </c>
      <c r="U14">
        <v>2.3450401999999999E-2</v>
      </c>
      <c r="V14">
        <v>857.8</v>
      </c>
      <c r="W14">
        <f t="shared" si="18"/>
        <v>0</v>
      </c>
      <c r="X14">
        <f t="shared" si="19"/>
        <v>0</v>
      </c>
      <c r="Y14">
        <f t="shared" si="20"/>
        <v>0</v>
      </c>
      <c r="Z14">
        <f t="shared" si="21"/>
        <v>0</v>
      </c>
      <c r="AA14">
        <f t="shared" si="22"/>
        <v>6000</v>
      </c>
      <c r="AB14">
        <f t="shared" si="23"/>
        <v>3000</v>
      </c>
      <c r="AC14">
        <f t="shared" si="10"/>
        <v>1894.1326530612246</v>
      </c>
      <c r="AD14">
        <f t="shared" si="11"/>
        <v>4105.8673469387759</v>
      </c>
    </row>
    <row r="15" spans="1:32" x14ac:dyDescent="0.3">
      <c r="A15" s="9">
        <v>2</v>
      </c>
      <c r="B15">
        <v>140</v>
      </c>
      <c r="C15">
        <v>85</v>
      </c>
      <c r="D15">
        <v>6000</v>
      </c>
      <c r="E15">
        <v>3000</v>
      </c>
      <c r="F15">
        <v>40</v>
      </c>
      <c r="G15">
        <f t="shared" ref="G15:G17" si="24">G14+1</f>
        <v>53</v>
      </c>
      <c r="H15">
        <v>50</v>
      </c>
      <c r="I15">
        <v>0</v>
      </c>
      <c r="J15">
        <v>0</v>
      </c>
      <c r="K15">
        <v>0</v>
      </c>
      <c r="L15">
        <v>0</v>
      </c>
      <c r="M15">
        <v>0</v>
      </c>
      <c r="O15">
        <f t="shared" si="14"/>
        <v>15386</v>
      </c>
      <c r="P15">
        <f t="shared" si="15"/>
        <v>5671.625</v>
      </c>
      <c r="Q15">
        <f t="shared" si="16"/>
        <v>1.84632</v>
      </c>
      <c r="R15">
        <f t="shared" si="7"/>
        <v>0.63137755102040816</v>
      </c>
      <c r="S15">
        <f t="shared" si="17"/>
        <v>97.854959999999991</v>
      </c>
      <c r="T15">
        <f t="shared" si="8"/>
        <v>61.783424999999994</v>
      </c>
      <c r="U15">
        <v>2.3450401999999999E-2</v>
      </c>
      <c r="V15">
        <v>857.8</v>
      </c>
      <c r="W15">
        <f t="shared" si="18"/>
        <v>0</v>
      </c>
      <c r="X15">
        <f t="shared" si="19"/>
        <v>0</v>
      </c>
      <c r="Y15">
        <f t="shared" si="20"/>
        <v>0</v>
      </c>
      <c r="Z15">
        <f t="shared" si="21"/>
        <v>0</v>
      </c>
      <c r="AA15">
        <f t="shared" si="22"/>
        <v>6000</v>
      </c>
      <c r="AB15">
        <f t="shared" si="23"/>
        <v>3000</v>
      </c>
      <c r="AC15">
        <f t="shared" si="10"/>
        <v>1894.1326530612246</v>
      </c>
      <c r="AD15">
        <f t="shared" si="11"/>
        <v>4105.8673469387759</v>
      </c>
    </row>
    <row r="16" spans="1:32" x14ac:dyDescent="0.3">
      <c r="A16" s="9">
        <v>2</v>
      </c>
      <c r="B16">
        <v>140</v>
      </c>
      <c r="C16">
        <v>85</v>
      </c>
      <c r="D16">
        <v>6000</v>
      </c>
      <c r="E16">
        <v>3000</v>
      </c>
      <c r="F16">
        <v>40</v>
      </c>
      <c r="G16">
        <f t="shared" si="24"/>
        <v>54</v>
      </c>
      <c r="H16">
        <v>50</v>
      </c>
      <c r="I16">
        <v>0</v>
      </c>
      <c r="J16">
        <v>0</v>
      </c>
      <c r="K16">
        <v>0</v>
      </c>
      <c r="L16">
        <v>0</v>
      </c>
      <c r="M16">
        <v>0</v>
      </c>
      <c r="O16">
        <f t="shared" si="14"/>
        <v>15386</v>
      </c>
      <c r="P16">
        <f t="shared" si="15"/>
        <v>5671.625</v>
      </c>
      <c r="Q16">
        <f t="shared" si="16"/>
        <v>1.84632</v>
      </c>
      <c r="R16">
        <f t="shared" si="7"/>
        <v>0.63137755102040816</v>
      </c>
      <c r="S16">
        <f t="shared" si="17"/>
        <v>99.701279999999997</v>
      </c>
      <c r="T16">
        <f t="shared" si="8"/>
        <v>62.949149999999996</v>
      </c>
      <c r="U16">
        <v>2.3450401999999999E-2</v>
      </c>
      <c r="V16">
        <v>857.8</v>
      </c>
      <c r="W16">
        <f t="shared" si="18"/>
        <v>0</v>
      </c>
      <c r="X16">
        <f t="shared" si="19"/>
        <v>0</v>
      </c>
      <c r="Y16">
        <f t="shared" si="20"/>
        <v>0</v>
      </c>
      <c r="Z16">
        <f t="shared" si="21"/>
        <v>0</v>
      </c>
      <c r="AA16">
        <f t="shared" si="22"/>
        <v>6000</v>
      </c>
      <c r="AB16">
        <f>IF(T16&gt;0,E16-(T16*T16*Y16+T16*Y16),E16-(T16*T16*Y16-T16*Y16))</f>
        <v>3000</v>
      </c>
      <c r="AC16">
        <f>DIFF_PRES_FINAL(R16,AB16)</f>
        <v>1894.1326530612246</v>
      </c>
      <c r="AD16">
        <f t="shared" si="11"/>
        <v>4105.8673469387759</v>
      </c>
    </row>
    <row r="17" spans="1:30" x14ac:dyDescent="0.3">
      <c r="A17" s="9">
        <v>2</v>
      </c>
      <c r="B17">
        <v>140</v>
      </c>
      <c r="C17">
        <v>85</v>
      </c>
      <c r="D17">
        <v>6000</v>
      </c>
      <c r="E17">
        <v>3000</v>
      </c>
      <c r="F17">
        <v>40</v>
      </c>
      <c r="G17">
        <f t="shared" si="24"/>
        <v>55</v>
      </c>
      <c r="H17">
        <v>50</v>
      </c>
      <c r="I17">
        <v>0</v>
      </c>
      <c r="J17">
        <v>0</v>
      </c>
      <c r="K17">
        <v>0</v>
      </c>
      <c r="L17">
        <v>0</v>
      </c>
      <c r="M17">
        <v>0</v>
      </c>
      <c r="O17">
        <f t="shared" si="14"/>
        <v>15386</v>
      </c>
      <c r="P17">
        <f t="shared" si="15"/>
        <v>5671.625</v>
      </c>
      <c r="Q17">
        <f t="shared" si="16"/>
        <v>1.84632</v>
      </c>
      <c r="R17">
        <f t="shared" si="7"/>
        <v>0.63137755102040816</v>
      </c>
      <c r="S17">
        <f t="shared" si="17"/>
        <v>101.5476</v>
      </c>
      <c r="T17">
        <f t="shared" si="8"/>
        <v>64.114874999999998</v>
      </c>
      <c r="U17">
        <v>2.3450401999999999E-2</v>
      </c>
      <c r="V17">
        <v>857.8</v>
      </c>
      <c r="W17">
        <f t="shared" si="18"/>
        <v>0</v>
      </c>
      <c r="X17">
        <f t="shared" si="19"/>
        <v>0</v>
      </c>
      <c r="Y17">
        <f t="shared" si="20"/>
        <v>0</v>
      </c>
      <c r="Z17">
        <f t="shared" si="21"/>
        <v>0</v>
      </c>
      <c r="AA17">
        <f t="shared" si="22"/>
        <v>6000</v>
      </c>
      <c r="AB17">
        <f t="shared" ref="AB17:AB53" si="25">IF(T17&gt;0,E17-(T17*T17*Y17+T17*Y17),E17-(T17*T17*Y17-T17*Y17))</f>
        <v>3000</v>
      </c>
      <c r="AC17">
        <f t="shared" ref="AC17:AC53" si="26">DIFF_PRES_FINAL(R17,AB17)</f>
        <v>1894.1326530612246</v>
      </c>
      <c r="AD17">
        <f t="shared" si="11"/>
        <v>4105.8673469387759</v>
      </c>
    </row>
    <row r="18" spans="1:30" x14ac:dyDescent="0.3">
      <c r="A18" s="10">
        <v>2</v>
      </c>
      <c r="B18">
        <v>140</v>
      </c>
      <c r="C18">
        <v>85</v>
      </c>
      <c r="D18">
        <v>6000</v>
      </c>
      <c r="E18">
        <v>3000</v>
      </c>
      <c r="F18">
        <v>40</v>
      </c>
      <c r="G18">
        <v>40</v>
      </c>
      <c r="H18">
        <v>-20</v>
      </c>
      <c r="I18">
        <v>0</v>
      </c>
      <c r="J18">
        <v>0</v>
      </c>
      <c r="K18">
        <v>0</v>
      </c>
      <c r="L18">
        <v>0</v>
      </c>
      <c r="M18">
        <v>0</v>
      </c>
      <c r="O18">
        <f t="shared" si="14"/>
        <v>15386</v>
      </c>
      <c r="P18">
        <f t="shared" si="15"/>
        <v>5671.625</v>
      </c>
      <c r="Q18">
        <f t="shared" si="16"/>
        <v>1.84632</v>
      </c>
      <c r="R18">
        <f t="shared" si="7"/>
        <v>0.63137755102040816</v>
      </c>
      <c r="S18">
        <f t="shared" si="17"/>
        <v>73.852800000000002</v>
      </c>
      <c r="T18">
        <f t="shared" si="8"/>
        <v>46.628999999999998</v>
      </c>
      <c r="U18">
        <v>0.6</v>
      </c>
      <c r="V18">
        <v>903.1</v>
      </c>
      <c r="W18">
        <f t="shared" si="18"/>
        <v>0</v>
      </c>
      <c r="X18">
        <f t="shared" si="19"/>
        <v>0</v>
      </c>
      <c r="Y18">
        <f t="shared" si="20"/>
        <v>0</v>
      </c>
      <c r="Z18">
        <f t="shared" si="21"/>
        <v>0</v>
      </c>
      <c r="AA18">
        <f t="shared" si="22"/>
        <v>6000</v>
      </c>
      <c r="AB18">
        <f t="shared" si="25"/>
        <v>3000</v>
      </c>
      <c r="AC18">
        <f t="shared" si="26"/>
        <v>1894.1326530612246</v>
      </c>
      <c r="AD18">
        <f t="shared" si="11"/>
        <v>4105.8673469387759</v>
      </c>
    </row>
    <row r="19" spans="1:30" x14ac:dyDescent="0.3">
      <c r="A19" s="10">
        <v>2</v>
      </c>
      <c r="B19">
        <v>140</v>
      </c>
      <c r="C19">
        <v>85</v>
      </c>
      <c r="D19">
        <v>6000</v>
      </c>
      <c r="E19">
        <v>3000</v>
      </c>
      <c r="F19">
        <v>40</v>
      </c>
      <c r="G19">
        <v>40</v>
      </c>
      <c r="H19">
        <v>0</v>
      </c>
      <c r="I19">
        <v>0</v>
      </c>
      <c r="J19">
        <v>0</v>
      </c>
      <c r="K19">
        <v>0</v>
      </c>
      <c r="L19">
        <v>0</v>
      </c>
      <c r="M19">
        <v>0</v>
      </c>
      <c r="O19">
        <f t="shared" si="14"/>
        <v>15386</v>
      </c>
      <c r="P19">
        <f t="shared" si="15"/>
        <v>5671.625</v>
      </c>
      <c r="Q19">
        <f t="shared" si="16"/>
        <v>1.84632</v>
      </c>
      <c r="R19">
        <f t="shared" si="7"/>
        <v>0.63137755102040816</v>
      </c>
      <c r="S19">
        <f t="shared" si="17"/>
        <v>73.852800000000002</v>
      </c>
      <c r="T19">
        <f t="shared" si="8"/>
        <v>46.628999999999998</v>
      </c>
      <c r="U19">
        <v>0.6</v>
      </c>
      <c r="V19">
        <v>891.1</v>
      </c>
      <c r="W19">
        <f t="shared" si="18"/>
        <v>0</v>
      </c>
      <c r="X19">
        <f t="shared" si="19"/>
        <v>0</v>
      </c>
      <c r="Y19">
        <f t="shared" si="20"/>
        <v>0</v>
      </c>
      <c r="Z19">
        <f t="shared" si="21"/>
        <v>0</v>
      </c>
      <c r="AA19">
        <f t="shared" si="22"/>
        <v>6000</v>
      </c>
      <c r="AB19">
        <f t="shared" si="25"/>
        <v>3000</v>
      </c>
      <c r="AC19">
        <f t="shared" si="26"/>
        <v>1894.1326530612246</v>
      </c>
      <c r="AD19">
        <f t="shared" si="11"/>
        <v>4105.8673469387759</v>
      </c>
    </row>
    <row r="20" spans="1:30" x14ac:dyDescent="0.3">
      <c r="A20" s="10">
        <v>2</v>
      </c>
      <c r="B20">
        <v>140</v>
      </c>
      <c r="C20">
        <v>85</v>
      </c>
      <c r="D20">
        <v>6000</v>
      </c>
      <c r="E20">
        <v>3000</v>
      </c>
      <c r="F20">
        <v>40</v>
      </c>
      <c r="G20">
        <v>40</v>
      </c>
      <c r="H20">
        <v>20</v>
      </c>
      <c r="I20">
        <v>0</v>
      </c>
      <c r="J20">
        <v>0</v>
      </c>
      <c r="K20">
        <v>0</v>
      </c>
      <c r="L20">
        <v>0</v>
      </c>
      <c r="M20">
        <v>0</v>
      </c>
      <c r="O20">
        <f t="shared" si="14"/>
        <v>15386</v>
      </c>
      <c r="P20">
        <f t="shared" si="15"/>
        <v>5671.625</v>
      </c>
      <c r="Q20">
        <f t="shared" si="16"/>
        <v>1.84632</v>
      </c>
      <c r="R20">
        <f t="shared" si="7"/>
        <v>0.63137755102040816</v>
      </c>
      <c r="S20">
        <f t="shared" si="17"/>
        <v>73.852800000000002</v>
      </c>
      <c r="T20">
        <f t="shared" si="8"/>
        <v>46.628999999999998</v>
      </c>
      <c r="U20">
        <v>0.6</v>
      </c>
      <c r="V20">
        <v>877.7</v>
      </c>
      <c r="W20">
        <f t="shared" si="18"/>
        <v>0</v>
      </c>
      <c r="X20">
        <f t="shared" si="19"/>
        <v>0</v>
      </c>
      <c r="Y20">
        <f t="shared" si="20"/>
        <v>0</v>
      </c>
      <c r="Z20">
        <f t="shared" si="21"/>
        <v>0</v>
      </c>
      <c r="AA20">
        <f t="shared" si="22"/>
        <v>6000</v>
      </c>
      <c r="AB20">
        <f t="shared" si="25"/>
        <v>3000</v>
      </c>
      <c r="AC20">
        <f t="shared" si="26"/>
        <v>1894.1326530612246</v>
      </c>
      <c r="AD20">
        <f t="shared" si="11"/>
        <v>4105.8673469387759</v>
      </c>
    </row>
    <row r="21" spans="1:30" x14ac:dyDescent="0.3">
      <c r="A21" s="10">
        <v>2</v>
      </c>
      <c r="B21">
        <v>140</v>
      </c>
      <c r="C21">
        <v>85</v>
      </c>
      <c r="D21">
        <v>6000</v>
      </c>
      <c r="E21">
        <v>3000</v>
      </c>
      <c r="F21">
        <v>40</v>
      </c>
      <c r="G21">
        <v>40</v>
      </c>
      <c r="H21">
        <v>30</v>
      </c>
      <c r="I21">
        <v>0</v>
      </c>
      <c r="J21">
        <v>0</v>
      </c>
      <c r="K21">
        <v>0</v>
      </c>
      <c r="L21">
        <v>0</v>
      </c>
      <c r="M21">
        <v>0</v>
      </c>
      <c r="O21">
        <f t="shared" si="14"/>
        <v>15386</v>
      </c>
      <c r="P21">
        <f t="shared" si="15"/>
        <v>5671.625</v>
      </c>
      <c r="Q21">
        <f t="shared" si="16"/>
        <v>1.84632</v>
      </c>
      <c r="R21">
        <f t="shared" si="7"/>
        <v>0.63137755102040816</v>
      </c>
      <c r="S21">
        <f t="shared" si="17"/>
        <v>73.852800000000002</v>
      </c>
      <c r="T21">
        <f t="shared" si="8"/>
        <v>46.628999999999998</v>
      </c>
      <c r="U21">
        <v>0.6</v>
      </c>
      <c r="V21">
        <v>871</v>
      </c>
      <c r="W21">
        <f t="shared" si="18"/>
        <v>0</v>
      </c>
      <c r="X21">
        <f t="shared" si="19"/>
        <v>0</v>
      </c>
      <c r="Y21">
        <f t="shared" si="20"/>
        <v>0</v>
      </c>
      <c r="Z21">
        <f t="shared" si="21"/>
        <v>0</v>
      </c>
      <c r="AA21">
        <f t="shared" si="22"/>
        <v>6000</v>
      </c>
      <c r="AB21">
        <f t="shared" si="25"/>
        <v>3000</v>
      </c>
      <c r="AC21">
        <f t="shared" si="26"/>
        <v>1894.1326530612246</v>
      </c>
      <c r="AD21">
        <f t="shared" si="11"/>
        <v>4105.8673469387759</v>
      </c>
    </row>
    <row r="22" spans="1:30" x14ac:dyDescent="0.3">
      <c r="A22" s="10">
        <v>2</v>
      </c>
      <c r="B22">
        <v>140</v>
      </c>
      <c r="C22">
        <v>85</v>
      </c>
      <c r="D22">
        <v>6000</v>
      </c>
      <c r="E22">
        <v>3000</v>
      </c>
      <c r="F22">
        <v>40</v>
      </c>
      <c r="G22">
        <v>40</v>
      </c>
      <c r="H22">
        <v>40</v>
      </c>
      <c r="I22">
        <v>0</v>
      </c>
      <c r="J22">
        <v>0</v>
      </c>
      <c r="K22">
        <v>0</v>
      </c>
      <c r="L22">
        <v>0</v>
      </c>
      <c r="M22">
        <v>0</v>
      </c>
      <c r="O22">
        <f t="shared" si="14"/>
        <v>15386</v>
      </c>
      <c r="P22">
        <f t="shared" si="15"/>
        <v>5671.625</v>
      </c>
      <c r="Q22">
        <f t="shared" si="16"/>
        <v>1.84632</v>
      </c>
      <c r="R22">
        <f t="shared" si="7"/>
        <v>0.63137755102040816</v>
      </c>
      <c r="S22">
        <f t="shared" si="17"/>
        <v>73.852800000000002</v>
      </c>
      <c r="T22">
        <f t="shared" si="8"/>
        <v>46.628999999999998</v>
      </c>
      <c r="U22">
        <v>0.6</v>
      </c>
      <c r="V22">
        <v>864.4</v>
      </c>
      <c r="W22">
        <f t="shared" si="18"/>
        <v>0</v>
      </c>
      <c r="X22">
        <f t="shared" si="19"/>
        <v>0</v>
      </c>
      <c r="Y22">
        <f t="shared" si="20"/>
        <v>0</v>
      </c>
      <c r="Z22">
        <f t="shared" si="21"/>
        <v>0</v>
      </c>
      <c r="AA22">
        <f t="shared" si="22"/>
        <v>6000</v>
      </c>
      <c r="AB22">
        <f t="shared" si="25"/>
        <v>3000</v>
      </c>
      <c r="AC22">
        <f t="shared" si="26"/>
        <v>1894.1326530612246</v>
      </c>
      <c r="AD22">
        <f t="shared" si="11"/>
        <v>4105.8673469387759</v>
      </c>
    </row>
    <row r="23" spans="1:30" x14ac:dyDescent="0.3">
      <c r="A23" s="8">
        <v>2</v>
      </c>
      <c r="B23">
        <v>140</v>
      </c>
      <c r="C23">
        <v>85</v>
      </c>
      <c r="D23">
        <v>6000</v>
      </c>
      <c r="E23">
        <v>3000</v>
      </c>
      <c r="F23">
        <v>40</v>
      </c>
      <c r="G23">
        <v>40</v>
      </c>
      <c r="H23">
        <v>50</v>
      </c>
      <c r="I23">
        <v>1</v>
      </c>
      <c r="J23">
        <v>0</v>
      </c>
      <c r="K23">
        <v>0</v>
      </c>
      <c r="L23">
        <v>0</v>
      </c>
      <c r="M23">
        <v>0</v>
      </c>
      <c r="O23">
        <f t="shared" si="14"/>
        <v>15386</v>
      </c>
      <c r="P23">
        <f t="shared" si="15"/>
        <v>5671.625</v>
      </c>
      <c r="Q23">
        <f t="shared" si="16"/>
        <v>1.84632</v>
      </c>
      <c r="R23">
        <f t="shared" si="7"/>
        <v>0.63137755102040816</v>
      </c>
      <c r="S23">
        <f t="shared" si="17"/>
        <v>73.852800000000002</v>
      </c>
      <c r="T23">
        <f t="shared" si="8"/>
        <v>46.628999999999998</v>
      </c>
      <c r="U23">
        <v>2.3450401999999999E-2</v>
      </c>
      <c r="V23">
        <v>857.8</v>
      </c>
      <c r="W23">
        <f t="shared" si="18"/>
        <v>857.8</v>
      </c>
      <c r="X23">
        <f t="shared" si="19"/>
        <v>0</v>
      </c>
      <c r="Y23">
        <f t="shared" si="20"/>
        <v>0</v>
      </c>
      <c r="Z23">
        <f t="shared" si="21"/>
        <v>0</v>
      </c>
      <c r="AA23">
        <f t="shared" si="22"/>
        <v>-4672643.698993152</v>
      </c>
      <c r="AB23">
        <f t="shared" si="25"/>
        <v>3000</v>
      </c>
      <c r="AC23">
        <f t="shared" si="26"/>
        <v>1894.1326530612246</v>
      </c>
      <c r="AD23">
        <f t="shared" si="11"/>
        <v>0</v>
      </c>
    </row>
    <row r="24" spans="1:30" x14ac:dyDescent="0.3">
      <c r="A24" s="8">
        <v>2</v>
      </c>
      <c r="B24">
        <v>140</v>
      </c>
      <c r="C24">
        <v>85</v>
      </c>
      <c r="D24">
        <v>6000</v>
      </c>
      <c r="E24">
        <v>3000</v>
      </c>
      <c r="F24">
        <v>40</v>
      </c>
      <c r="G24">
        <v>40</v>
      </c>
      <c r="H24">
        <v>50</v>
      </c>
      <c r="I24">
        <v>0</v>
      </c>
      <c r="J24">
        <v>1</v>
      </c>
      <c r="K24">
        <v>0</v>
      </c>
      <c r="L24">
        <v>0</v>
      </c>
      <c r="M24">
        <v>0</v>
      </c>
      <c r="O24">
        <f t="shared" si="14"/>
        <v>15386</v>
      </c>
      <c r="P24">
        <f t="shared" si="15"/>
        <v>5671.625</v>
      </c>
      <c r="Q24">
        <f t="shared" si="16"/>
        <v>1.84632</v>
      </c>
      <c r="R24">
        <f t="shared" si="7"/>
        <v>0.63137755102040816</v>
      </c>
      <c r="S24">
        <f t="shared" si="17"/>
        <v>73.852800000000002</v>
      </c>
      <c r="T24">
        <f t="shared" si="8"/>
        <v>46.628999999999998</v>
      </c>
      <c r="U24">
        <v>2.3450401999999999E-2</v>
      </c>
      <c r="V24">
        <v>857.8</v>
      </c>
      <c r="W24">
        <f t="shared" si="18"/>
        <v>0</v>
      </c>
      <c r="X24">
        <f t="shared" si="19"/>
        <v>2.3450401999999999E-2</v>
      </c>
      <c r="Y24">
        <f t="shared" si="20"/>
        <v>0</v>
      </c>
      <c r="Z24">
        <f t="shared" si="21"/>
        <v>0</v>
      </c>
      <c r="AA24">
        <f t="shared" si="22"/>
        <v>5998.2681221511748</v>
      </c>
      <c r="AB24">
        <f t="shared" si="25"/>
        <v>3000</v>
      </c>
      <c r="AC24">
        <f t="shared" si="26"/>
        <v>1894.1326530612246</v>
      </c>
      <c r="AD24">
        <f t="shared" si="11"/>
        <v>4104.1354690899498</v>
      </c>
    </row>
    <row r="25" spans="1:30" x14ac:dyDescent="0.3">
      <c r="A25" s="8">
        <v>2</v>
      </c>
      <c r="B25">
        <v>140</v>
      </c>
      <c r="C25">
        <v>85</v>
      </c>
      <c r="D25">
        <v>6000</v>
      </c>
      <c r="E25">
        <v>3000</v>
      </c>
      <c r="F25">
        <v>40</v>
      </c>
      <c r="G25">
        <v>40</v>
      </c>
      <c r="H25">
        <v>50</v>
      </c>
      <c r="I25">
        <v>0</v>
      </c>
      <c r="J25">
        <v>0</v>
      </c>
      <c r="K25">
        <v>1</v>
      </c>
      <c r="L25">
        <v>0</v>
      </c>
      <c r="M25">
        <v>0</v>
      </c>
      <c r="O25">
        <f t="shared" si="14"/>
        <v>15386</v>
      </c>
      <c r="P25">
        <f t="shared" si="15"/>
        <v>5671.625</v>
      </c>
      <c r="Q25">
        <f t="shared" si="16"/>
        <v>1.84632</v>
      </c>
      <c r="R25">
        <f t="shared" si="7"/>
        <v>0.63137755102040816</v>
      </c>
      <c r="S25">
        <f t="shared" si="17"/>
        <v>73.852800000000002</v>
      </c>
      <c r="T25">
        <f t="shared" si="8"/>
        <v>46.628999999999998</v>
      </c>
      <c r="U25">
        <v>2.3450401999999999E-2</v>
      </c>
      <c r="V25">
        <v>857.8</v>
      </c>
      <c r="W25">
        <f t="shared" si="18"/>
        <v>0</v>
      </c>
      <c r="X25">
        <f t="shared" si="19"/>
        <v>0</v>
      </c>
      <c r="Y25">
        <f t="shared" si="20"/>
        <v>857.8</v>
      </c>
      <c r="Z25">
        <f t="shared" si="21"/>
        <v>0</v>
      </c>
      <c r="AA25">
        <f t="shared" si="22"/>
        <v>6000</v>
      </c>
      <c r="AB25">
        <f t="shared" si="25"/>
        <v>-1902081.7074497999</v>
      </c>
      <c r="AC25">
        <f t="shared" si="26"/>
        <v>-1200931.6902903712</v>
      </c>
      <c r="AD25">
        <f t="shared" si="11"/>
        <v>1206931.6902903712</v>
      </c>
    </row>
    <row r="26" spans="1:30" x14ac:dyDescent="0.3">
      <c r="A26" s="8">
        <v>2</v>
      </c>
      <c r="B26">
        <v>140</v>
      </c>
      <c r="C26">
        <v>85</v>
      </c>
      <c r="D26">
        <v>6000</v>
      </c>
      <c r="E26">
        <v>3000</v>
      </c>
      <c r="F26">
        <v>40</v>
      </c>
      <c r="G26">
        <v>40</v>
      </c>
      <c r="H26">
        <v>50</v>
      </c>
      <c r="I26">
        <v>0</v>
      </c>
      <c r="J26">
        <v>0</v>
      </c>
      <c r="K26">
        <v>0</v>
      </c>
      <c r="L26">
        <v>1</v>
      </c>
      <c r="M26">
        <v>0</v>
      </c>
      <c r="O26">
        <f t="shared" si="14"/>
        <v>15386</v>
      </c>
      <c r="P26">
        <f t="shared" si="15"/>
        <v>5671.625</v>
      </c>
      <c r="Q26">
        <f t="shared" si="16"/>
        <v>1.84632</v>
      </c>
      <c r="R26">
        <f t="shared" si="7"/>
        <v>0.63137755102040816</v>
      </c>
      <c r="S26">
        <f t="shared" si="17"/>
        <v>73.852800000000002</v>
      </c>
      <c r="T26">
        <f t="shared" si="8"/>
        <v>46.628999999999998</v>
      </c>
      <c r="U26">
        <v>2.3450401999999999E-2</v>
      </c>
      <c r="V26">
        <v>857.8</v>
      </c>
      <c r="W26">
        <f t="shared" si="18"/>
        <v>0</v>
      </c>
      <c r="X26">
        <f t="shared" si="19"/>
        <v>0</v>
      </c>
      <c r="Y26">
        <f t="shared" si="20"/>
        <v>0</v>
      </c>
      <c r="Z26">
        <f t="shared" si="21"/>
        <v>2.3450401999999999E-2</v>
      </c>
      <c r="AA26">
        <f t="shared" si="22"/>
        <v>6000</v>
      </c>
      <c r="AB26">
        <f t="shared" si="25"/>
        <v>3000</v>
      </c>
      <c r="AC26">
        <f t="shared" si="26"/>
        <v>1894.1326530612246</v>
      </c>
      <c r="AD26">
        <f t="shared" si="11"/>
        <v>4105.8673469387759</v>
      </c>
    </row>
    <row r="27" spans="1:30" x14ac:dyDescent="0.3">
      <c r="A27" s="8">
        <v>2</v>
      </c>
      <c r="B27">
        <v>140</v>
      </c>
      <c r="C27">
        <v>85</v>
      </c>
      <c r="D27">
        <v>6000</v>
      </c>
      <c r="E27">
        <v>3000</v>
      </c>
      <c r="F27">
        <v>40</v>
      </c>
      <c r="G27">
        <v>40</v>
      </c>
      <c r="H27">
        <v>50</v>
      </c>
      <c r="I27">
        <v>1</v>
      </c>
      <c r="J27">
        <v>1</v>
      </c>
      <c r="K27">
        <v>0</v>
      </c>
      <c r="L27">
        <v>0</v>
      </c>
      <c r="M27">
        <v>0</v>
      </c>
      <c r="O27">
        <f t="shared" si="14"/>
        <v>15386</v>
      </c>
      <c r="P27">
        <f t="shared" si="15"/>
        <v>5671.625</v>
      </c>
      <c r="Q27">
        <f t="shared" si="16"/>
        <v>1.84632</v>
      </c>
      <c r="R27">
        <f t="shared" si="7"/>
        <v>0.63137755102040816</v>
      </c>
      <c r="S27">
        <f t="shared" si="17"/>
        <v>73.852800000000002</v>
      </c>
      <c r="T27">
        <f t="shared" si="8"/>
        <v>46.628999999999998</v>
      </c>
      <c r="U27">
        <v>2.3450401999999999E-2</v>
      </c>
      <c r="V27">
        <v>857.8</v>
      </c>
      <c r="W27">
        <f t="shared" si="18"/>
        <v>857.8</v>
      </c>
      <c r="X27">
        <f t="shared" si="19"/>
        <v>2.3450401999999999E-2</v>
      </c>
      <c r="Y27">
        <f t="shared" si="20"/>
        <v>0</v>
      </c>
      <c r="Z27">
        <f t="shared" si="21"/>
        <v>0</v>
      </c>
      <c r="AA27">
        <f t="shared" si="22"/>
        <v>-4672645.4308710005</v>
      </c>
      <c r="AB27">
        <f t="shared" si="25"/>
        <v>3000</v>
      </c>
      <c r="AC27">
        <f t="shared" si="26"/>
        <v>1894.1326530612246</v>
      </c>
      <c r="AD27">
        <f t="shared" si="11"/>
        <v>0</v>
      </c>
    </row>
    <row r="28" spans="1:30" x14ac:dyDescent="0.3">
      <c r="A28" s="8">
        <v>2</v>
      </c>
      <c r="B28">
        <v>140</v>
      </c>
      <c r="C28">
        <v>85</v>
      </c>
      <c r="D28">
        <v>6000</v>
      </c>
      <c r="E28">
        <v>3000</v>
      </c>
      <c r="F28">
        <v>40</v>
      </c>
      <c r="G28">
        <v>40</v>
      </c>
      <c r="H28">
        <v>50</v>
      </c>
      <c r="I28">
        <v>0</v>
      </c>
      <c r="J28">
        <v>1</v>
      </c>
      <c r="K28">
        <v>1</v>
      </c>
      <c r="L28">
        <v>0</v>
      </c>
      <c r="M28">
        <v>0</v>
      </c>
      <c r="O28">
        <f t="shared" si="14"/>
        <v>15386</v>
      </c>
      <c r="P28">
        <f t="shared" si="15"/>
        <v>5671.625</v>
      </c>
      <c r="Q28">
        <f t="shared" si="16"/>
        <v>1.84632</v>
      </c>
      <c r="R28">
        <f t="shared" si="7"/>
        <v>0.63137755102040816</v>
      </c>
      <c r="S28">
        <f t="shared" si="17"/>
        <v>73.852800000000002</v>
      </c>
      <c r="T28">
        <f t="shared" si="8"/>
        <v>46.628999999999998</v>
      </c>
      <c r="U28">
        <v>2.3450401999999999E-2</v>
      </c>
      <c r="V28">
        <v>857.8</v>
      </c>
      <c r="W28">
        <f t="shared" si="18"/>
        <v>0</v>
      </c>
      <c r="X28">
        <f t="shared" si="19"/>
        <v>2.3450401999999999E-2</v>
      </c>
      <c r="Y28">
        <f t="shared" si="20"/>
        <v>857.8</v>
      </c>
      <c r="Z28">
        <f t="shared" si="21"/>
        <v>0</v>
      </c>
      <c r="AA28">
        <f t="shared" si="22"/>
        <v>5998.2681221511748</v>
      </c>
      <c r="AB28">
        <f t="shared" si="25"/>
        <v>-1902081.7074497999</v>
      </c>
      <c r="AC28">
        <f t="shared" si="26"/>
        <v>-1200931.6902903712</v>
      </c>
      <c r="AD28">
        <f t="shared" si="11"/>
        <v>1206929.9584125225</v>
      </c>
    </row>
    <row r="29" spans="1:30" x14ac:dyDescent="0.3">
      <c r="A29" s="8">
        <v>2</v>
      </c>
      <c r="B29">
        <v>140</v>
      </c>
      <c r="C29">
        <v>85</v>
      </c>
      <c r="D29">
        <v>6000</v>
      </c>
      <c r="E29">
        <v>3000</v>
      </c>
      <c r="F29">
        <v>40</v>
      </c>
      <c r="G29">
        <v>40</v>
      </c>
      <c r="H29">
        <v>50</v>
      </c>
      <c r="I29">
        <v>0</v>
      </c>
      <c r="J29">
        <v>0</v>
      </c>
      <c r="K29">
        <v>1</v>
      </c>
      <c r="L29">
        <v>1</v>
      </c>
      <c r="M29">
        <v>0</v>
      </c>
      <c r="O29">
        <f t="shared" si="14"/>
        <v>15386</v>
      </c>
      <c r="P29">
        <f t="shared" si="15"/>
        <v>5671.625</v>
      </c>
      <c r="Q29">
        <f t="shared" si="16"/>
        <v>1.84632</v>
      </c>
      <c r="R29">
        <f t="shared" si="7"/>
        <v>0.63137755102040816</v>
      </c>
      <c r="S29">
        <f t="shared" si="17"/>
        <v>73.852800000000002</v>
      </c>
      <c r="T29">
        <f t="shared" si="8"/>
        <v>46.628999999999998</v>
      </c>
      <c r="U29">
        <v>2.3450401999999999E-2</v>
      </c>
      <c r="V29">
        <v>857.8</v>
      </c>
      <c r="W29">
        <f t="shared" si="18"/>
        <v>0</v>
      </c>
      <c r="X29">
        <f t="shared" si="19"/>
        <v>0</v>
      </c>
      <c r="Y29">
        <f t="shared" si="20"/>
        <v>857.8</v>
      </c>
      <c r="Z29">
        <f t="shared" si="21"/>
        <v>2.3450401999999999E-2</v>
      </c>
      <c r="AA29">
        <f t="shared" si="22"/>
        <v>6000</v>
      </c>
      <c r="AB29">
        <f t="shared" si="25"/>
        <v>-1902081.7074497999</v>
      </c>
      <c r="AC29">
        <f t="shared" si="26"/>
        <v>-1200931.6902903712</v>
      </c>
      <c r="AD29">
        <f t="shared" si="11"/>
        <v>1206931.6902903712</v>
      </c>
    </row>
    <row r="30" spans="1:30" x14ac:dyDescent="0.3">
      <c r="A30" s="8">
        <v>2</v>
      </c>
      <c r="B30">
        <v>140</v>
      </c>
      <c r="C30">
        <v>85</v>
      </c>
      <c r="D30">
        <v>6000</v>
      </c>
      <c r="E30">
        <v>3000</v>
      </c>
      <c r="F30">
        <v>40</v>
      </c>
      <c r="G30">
        <v>40</v>
      </c>
      <c r="H30">
        <v>50</v>
      </c>
      <c r="I30">
        <v>1</v>
      </c>
      <c r="J30">
        <v>1</v>
      </c>
      <c r="K30">
        <v>1</v>
      </c>
      <c r="L30">
        <v>0</v>
      </c>
      <c r="M30">
        <v>0</v>
      </c>
      <c r="O30">
        <f t="shared" si="14"/>
        <v>15386</v>
      </c>
      <c r="P30">
        <f t="shared" si="15"/>
        <v>5671.625</v>
      </c>
      <c r="Q30">
        <f t="shared" si="16"/>
        <v>1.84632</v>
      </c>
      <c r="R30">
        <f t="shared" si="7"/>
        <v>0.63137755102040816</v>
      </c>
      <c r="S30">
        <f t="shared" si="17"/>
        <v>73.852800000000002</v>
      </c>
      <c r="T30">
        <f t="shared" si="8"/>
        <v>46.628999999999998</v>
      </c>
      <c r="U30">
        <v>2.3450401999999999E-2</v>
      </c>
      <c r="V30">
        <v>857.8</v>
      </c>
      <c r="W30">
        <f t="shared" si="18"/>
        <v>857.8</v>
      </c>
      <c r="X30">
        <f t="shared" si="19"/>
        <v>2.3450401999999999E-2</v>
      </c>
      <c r="Y30">
        <f t="shared" si="20"/>
        <v>857.8</v>
      </c>
      <c r="Z30">
        <f t="shared" si="21"/>
        <v>0</v>
      </c>
      <c r="AA30">
        <f t="shared" si="22"/>
        <v>-4672645.4308710005</v>
      </c>
      <c r="AB30">
        <f t="shared" si="25"/>
        <v>-1902081.7074497999</v>
      </c>
      <c r="AC30">
        <f t="shared" si="26"/>
        <v>-1200931.6902903712</v>
      </c>
      <c r="AD30">
        <f t="shared" si="11"/>
        <v>0</v>
      </c>
    </row>
    <row r="31" spans="1:30" x14ac:dyDescent="0.3">
      <c r="A31" s="8">
        <v>2</v>
      </c>
      <c r="B31">
        <v>140</v>
      </c>
      <c r="C31">
        <v>85</v>
      </c>
      <c r="D31">
        <v>6000</v>
      </c>
      <c r="E31">
        <v>3000</v>
      </c>
      <c r="F31">
        <v>40</v>
      </c>
      <c r="G31">
        <v>40</v>
      </c>
      <c r="H31">
        <v>50</v>
      </c>
      <c r="I31">
        <v>0</v>
      </c>
      <c r="J31">
        <v>1</v>
      </c>
      <c r="K31">
        <v>1</v>
      </c>
      <c r="L31">
        <v>1</v>
      </c>
      <c r="M31">
        <v>0</v>
      </c>
      <c r="O31">
        <f t="shared" si="14"/>
        <v>15386</v>
      </c>
      <c r="P31">
        <f t="shared" si="15"/>
        <v>5671.625</v>
      </c>
      <c r="Q31">
        <f t="shared" si="16"/>
        <v>1.84632</v>
      </c>
      <c r="R31">
        <f t="shared" si="7"/>
        <v>0.63137755102040816</v>
      </c>
      <c r="S31">
        <f t="shared" si="17"/>
        <v>73.852800000000002</v>
      </c>
      <c r="T31">
        <f t="shared" si="8"/>
        <v>46.628999999999998</v>
      </c>
      <c r="U31">
        <v>2.3450401999999999E-2</v>
      </c>
      <c r="V31">
        <v>857.8</v>
      </c>
      <c r="W31">
        <f t="shared" si="18"/>
        <v>0</v>
      </c>
      <c r="X31">
        <f t="shared" si="19"/>
        <v>2.3450401999999999E-2</v>
      </c>
      <c r="Y31">
        <f t="shared" si="20"/>
        <v>857.8</v>
      </c>
      <c r="Z31">
        <f t="shared" si="21"/>
        <v>2.3450401999999999E-2</v>
      </c>
      <c r="AA31">
        <f t="shared" si="22"/>
        <v>5998.2681221511748</v>
      </c>
      <c r="AB31">
        <f t="shared" si="25"/>
        <v>-1902081.7074497999</v>
      </c>
      <c r="AC31">
        <f t="shared" si="26"/>
        <v>-1200931.6902903712</v>
      </c>
      <c r="AD31">
        <f t="shared" si="11"/>
        <v>1206929.9584125225</v>
      </c>
    </row>
    <row r="32" spans="1:30" x14ac:dyDescent="0.3">
      <c r="A32" s="8">
        <v>2</v>
      </c>
      <c r="B32">
        <v>140</v>
      </c>
      <c r="C32">
        <v>85</v>
      </c>
      <c r="D32">
        <v>6000</v>
      </c>
      <c r="E32">
        <v>3000</v>
      </c>
      <c r="F32">
        <v>40</v>
      </c>
      <c r="G32">
        <v>40</v>
      </c>
      <c r="H32">
        <v>50</v>
      </c>
      <c r="I32">
        <v>4</v>
      </c>
      <c r="J32">
        <v>2</v>
      </c>
      <c r="K32">
        <v>3</v>
      </c>
      <c r="L32">
        <v>1</v>
      </c>
      <c r="M32">
        <v>0</v>
      </c>
      <c r="O32">
        <f t="shared" si="14"/>
        <v>15386</v>
      </c>
      <c r="P32">
        <f t="shared" si="15"/>
        <v>5671.625</v>
      </c>
      <c r="Q32">
        <f t="shared" si="16"/>
        <v>1.84632</v>
      </c>
      <c r="R32">
        <f t="shared" si="7"/>
        <v>0.63137755102040816</v>
      </c>
      <c r="S32">
        <f t="shared" si="17"/>
        <v>73.852800000000002</v>
      </c>
      <c r="T32">
        <f t="shared" si="8"/>
        <v>46.628999999999998</v>
      </c>
      <c r="U32">
        <v>2.3450401999999999E-2</v>
      </c>
      <c r="V32">
        <v>857.8</v>
      </c>
      <c r="W32">
        <f t="shared" si="18"/>
        <v>3431.2</v>
      </c>
      <c r="X32">
        <f t="shared" si="19"/>
        <v>4.6900803999999997E-2</v>
      </c>
      <c r="Y32">
        <f t="shared" si="20"/>
        <v>2573.3999999999996</v>
      </c>
      <c r="Z32">
        <f t="shared" si="21"/>
        <v>2.3450401999999999E-2</v>
      </c>
      <c r="AA32">
        <f t="shared" si="22"/>
        <v>-18708578.259728305</v>
      </c>
      <c r="AB32">
        <f t="shared" si="25"/>
        <v>-5712245.1223493991</v>
      </c>
      <c r="AC32">
        <f t="shared" si="26"/>
        <v>-3606583.3361772355</v>
      </c>
      <c r="AD32">
        <f t="shared" si="11"/>
        <v>0</v>
      </c>
    </row>
    <row r="33" spans="1:30" x14ac:dyDescent="0.3">
      <c r="A33">
        <v>2</v>
      </c>
      <c r="B33">
        <v>140</v>
      </c>
      <c r="C33">
        <v>85</v>
      </c>
      <c r="D33">
        <v>6000</v>
      </c>
      <c r="E33">
        <v>3000</v>
      </c>
      <c r="F33">
        <v>40</v>
      </c>
      <c r="G33">
        <v>40</v>
      </c>
      <c r="H33">
        <v>50</v>
      </c>
      <c r="I33">
        <v>4</v>
      </c>
      <c r="J33">
        <v>2</v>
      </c>
      <c r="K33">
        <v>3</v>
      </c>
      <c r="L33">
        <v>1</v>
      </c>
      <c r="M33">
        <v>1</v>
      </c>
      <c r="O33">
        <f t="shared" si="14"/>
        <v>15386</v>
      </c>
      <c r="P33">
        <f t="shared" si="15"/>
        <v>5671.625</v>
      </c>
      <c r="Q33">
        <f t="shared" si="16"/>
        <v>1.84632</v>
      </c>
      <c r="R33">
        <f t="shared" si="7"/>
        <v>0.63137755102040816</v>
      </c>
      <c r="S33">
        <f t="shared" si="17"/>
        <v>73.852800000000002</v>
      </c>
      <c r="T33">
        <f t="shared" si="8"/>
        <v>46.628999999999998</v>
      </c>
      <c r="U33">
        <v>2.3985968999999999E-2</v>
      </c>
      <c r="V33">
        <v>846.7</v>
      </c>
      <c r="W33">
        <f t="shared" si="18"/>
        <v>3386.8</v>
      </c>
      <c r="X33">
        <f t="shared" si="19"/>
        <v>4.7971937999999999E-2</v>
      </c>
      <c r="Y33">
        <f t="shared" si="20"/>
        <v>2540.1000000000004</v>
      </c>
      <c r="Z33">
        <f t="shared" si="21"/>
        <v>2.3985968999999999E-2</v>
      </c>
      <c r="AA33">
        <f t="shared" si="22"/>
        <v>-18466410.257422455</v>
      </c>
      <c r="AB33">
        <f t="shared" si="25"/>
        <v>-5638289.3974041007</v>
      </c>
      <c r="AC33">
        <f t="shared" si="26"/>
        <v>-3559889.3516773339</v>
      </c>
      <c r="AD33">
        <f t="shared" si="11"/>
        <v>0</v>
      </c>
    </row>
    <row r="34" spans="1:30" x14ac:dyDescent="0.3">
      <c r="A34">
        <v>2</v>
      </c>
      <c r="B34">
        <v>140</v>
      </c>
      <c r="C34">
        <v>85</v>
      </c>
      <c r="D34">
        <v>6000</v>
      </c>
      <c r="E34">
        <v>3000</v>
      </c>
      <c r="F34">
        <v>40</v>
      </c>
      <c r="G34">
        <v>40</v>
      </c>
      <c r="H34">
        <v>50</v>
      </c>
      <c r="I34">
        <v>0</v>
      </c>
      <c r="J34">
        <v>2</v>
      </c>
      <c r="K34">
        <v>3</v>
      </c>
      <c r="L34">
        <v>1</v>
      </c>
      <c r="M34">
        <v>1</v>
      </c>
      <c r="O34">
        <f t="shared" si="14"/>
        <v>15386</v>
      </c>
      <c r="P34">
        <f t="shared" si="15"/>
        <v>5671.625</v>
      </c>
      <c r="Q34">
        <f t="shared" si="16"/>
        <v>1.84632</v>
      </c>
      <c r="R34">
        <f t="shared" si="7"/>
        <v>0.63137755102040816</v>
      </c>
      <c r="S34">
        <f t="shared" si="17"/>
        <v>73.852800000000002</v>
      </c>
      <c r="T34">
        <f t="shared" si="8"/>
        <v>46.628999999999998</v>
      </c>
      <c r="U34">
        <v>2.3985968999999999E-2</v>
      </c>
      <c r="V34">
        <v>846.7</v>
      </c>
      <c r="W34">
        <f t="shared" si="18"/>
        <v>0</v>
      </c>
      <c r="X34">
        <f t="shared" si="19"/>
        <v>4.7971937999999999E-2</v>
      </c>
      <c r="Y34">
        <f t="shared" si="20"/>
        <v>2540.1000000000004</v>
      </c>
      <c r="Z34">
        <f t="shared" si="21"/>
        <v>2.3985968999999999E-2</v>
      </c>
      <c r="AA34">
        <f t="shared" si="22"/>
        <v>5996.4571380572734</v>
      </c>
      <c r="AB34">
        <f t="shared" si="25"/>
        <v>-5638289.3974041007</v>
      </c>
      <c r="AC34">
        <f t="shared" si="26"/>
        <v>-3559889.3516773339</v>
      </c>
      <c r="AD34">
        <f t="shared" si="11"/>
        <v>3565885.8088153913</v>
      </c>
    </row>
    <row r="35" spans="1:30" x14ac:dyDescent="0.3">
      <c r="A35">
        <v>2</v>
      </c>
      <c r="B35">
        <v>140</v>
      </c>
      <c r="C35">
        <v>85</v>
      </c>
      <c r="D35">
        <v>6000</v>
      </c>
      <c r="E35">
        <v>3000</v>
      </c>
      <c r="F35">
        <v>40</v>
      </c>
      <c r="G35">
        <v>40</v>
      </c>
      <c r="H35">
        <v>50</v>
      </c>
      <c r="I35">
        <v>0</v>
      </c>
      <c r="J35">
        <v>0</v>
      </c>
      <c r="K35">
        <v>3</v>
      </c>
      <c r="L35">
        <v>1</v>
      </c>
      <c r="M35">
        <v>1</v>
      </c>
      <c r="O35">
        <f t="shared" si="14"/>
        <v>15386</v>
      </c>
      <c r="P35">
        <f t="shared" si="15"/>
        <v>5671.625</v>
      </c>
      <c r="Q35">
        <f t="shared" si="16"/>
        <v>1.84632</v>
      </c>
      <c r="R35">
        <f t="shared" si="7"/>
        <v>0.63137755102040816</v>
      </c>
      <c r="S35">
        <f t="shared" si="17"/>
        <v>73.852800000000002</v>
      </c>
      <c r="T35">
        <f t="shared" si="8"/>
        <v>46.628999999999998</v>
      </c>
      <c r="U35">
        <v>2.3985968999999999E-2</v>
      </c>
      <c r="V35">
        <v>846.7</v>
      </c>
      <c r="W35">
        <f t="shared" si="18"/>
        <v>0</v>
      </c>
      <c r="X35">
        <f t="shared" si="19"/>
        <v>0</v>
      </c>
      <c r="Y35">
        <f t="shared" si="20"/>
        <v>2540.1000000000004</v>
      </c>
      <c r="Z35">
        <f t="shared" si="21"/>
        <v>2.3985968999999999E-2</v>
      </c>
      <c r="AA35">
        <f t="shared" si="22"/>
        <v>6000</v>
      </c>
      <c r="AB35">
        <f t="shared" si="25"/>
        <v>-5638289.3974041007</v>
      </c>
      <c r="AC35">
        <f t="shared" si="26"/>
        <v>-3559889.3516773339</v>
      </c>
      <c r="AD35">
        <f t="shared" si="11"/>
        <v>3565889.3516773339</v>
      </c>
    </row>
    <row r="36" spans="1:30" x14ac:dyDescent="0.3">
      <c r="A36">
        <v>2</v>
      </c>
      <c r="B36">
        <v>140</v>
      </c>
      <c r="C36">
        <v>85</v>
      </c>
      <c r="D36">
        <v>6000</v>
      </c>
      <c r="E36">
        <v>3000</v>
      </c>
      <c r="F36">
        <v>40</v>
      </c>
      <c r="G36">
        <v>40</v>
      </c>
      <c r="H36">
        <v>50</v>
      </c>
      <c r="I36">
        <v>0</v>
      </c>
      <c r="J36">
        <v>0</v>
      </c>
      <c r="K36">
        <v>0</v>
      </c>
      <c r="L36">
        <v>1</v>
      </c>
      <c r="M36">
        <v>1</v>
      </c>
      <c r="O36">
        <f t="shared" si="14"/>
        <v>15386</v>
      </c>
      <c r="P36">
        <f t="shared" si="15"/>
        <v>5671.625</v>
      </c>
      <c r="Q36">
        <f t="shared" si="16"/>
        <v>1.84632</v>
      </c>
      <c r="R36">
        <f t="shared" si="7"/>
        <v>0.63137755102040816</v>
      </c>
      <c r="S36">
        <f t="shared" si="17"/>
        <v>73.852800000000002</v>
      </c>
      <c r="T36">
        <f t="shared" si="8"/>
        <v>46.628999999999998</v>
      </c>
      <c r="U36">
        <v>2.3985968999999999E-2</v>
      </c>
      <c r="V36">
        <v>846.7</v>
      </c>
      <c r="W36">
        <f t="shared" si="18"/>
        <v>0</v>
      </c>
      <c r="X36">
        <f t="shared" si="19"/>
        <v>0</v>
      </c>
      <c r="Y36">
        <f t="shared" si="20"/>
        <v>0</v>
      </c>
      <c r="Z36">
        <f t="shared" si="21"/>
        <v>2.3985968999999999E-2</v>
      </c>
      <c r="AA36">
        <f t="shared" si="22"/>
        <v>6000</v>
      </c>
      <c r="AB36">
        <f t="shared" si="25"/>
        <v>3000</v>
      </c>
      <c r="AC36">
        <f t="shared" si="26"/>
        <v>1894.1326530612246</v>
      </c>
      <c r="AD36">
        <f t="shared" si="11"/>
        <v>4105.8673469387759</v>
      </c>
    </row>
    <row r="37" spans="1:30" x14ac:dyDescent="0.3">
      <c r="A37">
        <v>2</v>
      </c>
      <c r="B37">
        <v>140</v>
      </c>
      <c r="C37">
        <v>85</v>
      </c>
      <c r="D37">
        <v>6000</v>
      </c>
      <c r="E37">
        <v>3000</v>
      </c>
      <c r="F37">
        <v>40</v>
      </c>
      <c r="G37">
        <v>40</v>
      </c>
      <c r="H37">
        <v>50</v>
      </c>
      <c r="I37">
        <v>0</v>
      </c>
      <c r="J37">
        <v>0</v>
      </c>
      <c r="K37">
        <v>0</v>
      </c>
      <c r="L37">
        <v>0</v>
      </c>
      <c r="M37">
        <v>1</v>
      </c>
      <c r="O37">
        <f t="shared" si="14"/>
        <v>15386</v>
      </c>
      <c r="P37">
        <f t="shared" si="15"/>
        <v>5671.625</v>
      </c>
      <c r="Q37">
        <f t="shared" si="16"/>
        <v>1.84632</v>
      </c>
      <c r="R37">
        <f t="shared" si="7"/>
        <v>0.63137755102040816</v>
      </c>
      <c r="S37">
        <f t="shared" si="17"/>
        <v>73.852800000000002</v>
      </c>
      <c r="T37">
        <f t="shared" si="8"/>
        <v>46.628999999999998</v>
      </c>
      <c r="U37">
        <v>2.3985968999999999E-2</v>
      </c>
      <c r="V37">
        <v>846.7</v>
      </c>
      <c r="W37">
        <f t="shared" si="18"/>
        <v>0</v>
      </c>
      <c r="X37">
        <f t="shared" si="19"/>
        <v>0</v>
      </c>
      <c r="Y37">
        <f t="shared" si="20"/>
        <v>0</v>
      </c>
      <c r="Z37">
        <f t="shared" si="21"/>
        <v>0</v>
      </c>
      <c r="AA37">
        <f t="shared" si="22"/>
        <v>6000</v>
      </c>
      <c r="AB37">
        <f t="shared" si="25"/>
        <v>3000</v>
      </c>
      <c r="AC37">
        <f t="shared" si="26"/>
        <v>1894.1326530612246</v>
      </c>
      <c r="AD37">
        <f t="shared" si="11"/>
        <v>4105.8673469387759</v>
      </c>
    </row>
    <row r="38" spans="1:30" x14ac:dyDescent="0.3">
      <c r="A38" s="10">
        <v>2</v>
      </c>
      <c r="B38">
        <f>B37+6</f>
        <v>146</v>
      </c>
      <c r="C38">
        <v>85</v>
      </c>
      <c r="D38">
        <v>6000</v>
      </c>
      <c r="E38">
        <v>3000</v>
      </c>
      <c r="F38">
        <v>40</v>
      </c>
      <c r="G38">
        <v>40</v>
      </c>
      <c r="H38">
        <v>50</v>
      </c>
      <c r="I38">
        <v>0</v>
      </c>
      <c r="J38">
        <v>0</v>
      </c>
      <c r="K38">
        <v>0</v>
      </c>
      <c r="L38">
        <v>0</v>
      </c>
      <c r="M38">
        <v>1</v>
      </c>
      <c r="O38">
        <f t="shared" si="14"/>
        <v>16733.060000000001</v>
      </c>
      <c r="P38">
        <f t="shared" si="15"/>
        <v>5671.625</v>
      </c>
      <c r="Q38">
        <f t="shared" si="16"/>
        <v>2.0079672000000004</v>
      </c>
      <c r="R38">
        <f t="shared" si="7"/>
        <v>0.66105273034340406</v>
      </c>
      <c r="S38">
        <f t="shared" si="17"/>
        <v>80.318688000000009</v>
      </c>
      <c r="T38">
        <f t="shared" si="8"/>
        <v>53.094888000000012</v>
      </c>
      <c r="U38">
        <v>2.3985968999999999E-2</v>
      </c>
      <c r="V38">
        <v>846.7</v>
      </c>
      <c r="W38">
        <f t="shared" si="18"/>
        <v>0</v>
      </c>
      <c r="X38">
        <f t="shared" si="19"/>
        <v>0</v>
      </c>
      <c r="Y38">
        <f t="shared" si="20"/>
        <v>0</v>
      </c>
      <c r="Z38">
        <f t="shared" si="21"/>
        <v>0</v>
      </c>
      <c r="AA38">
        <f t="shared" si="22"/>
        <v>6000</v>
      </c>
      <c r="AB38">
        <f t="shared" si="25"/>
        <v>3000</v>
      </c>
      <c r="AC38">
        <f t="shared" si="26"/>
        <v>1983.1581910302123</v>
      </c>
      <c r="AD38">
        <f t="shared" si="11"/>
        <v>4016.841808969788</v>
      </c>
    </row>
    <row r="39" spans="1:30" x14ac:dyDescent="0.3">
      <c r="A39" s="10">
        <v>2</v>
      </c>
      <c r="B39">
        <f t="shared" ref="B39:B42" si="27">B38+6</f>
        <v>152</v>
      </c>
      <c r="C39">
        <v>85</v>
      </c>
      <c r="D39">
        <v>6000</v>
      </c>
      <c r="E39">
        <v>3000</v>
      </c>
      <c r="F39">
        <v>40</v>
      </c>
      <c r="G39">
        <v>40</v>
      </c>
      <c r="H39">
        <v>50</v>
      </c>
      <c r="I39">
        <v>0</v>
      </c>
      <c r="J39">
        <v>0</v>
      </c>
      <c r="K39">
        <v>0</v>
      </c>
      <c r="L39">
        <v>0</v>
      </c>
      <c r="M39">
        <v>1</v>
      </c>
      <c r="O39">
        <f t="shared" si="14"/>
        <v>18136.64</v>
      </c>
      <c r="P39">
        <f t="shared" si="15"/>
        <v>5671.625</v>
      </c>
      <c r="Q39">
        <f t="shared" si="16"/>
        <v>2.1763968</v>
      </c>
      <c r="R39">
        <f t="shared" si="7"/>
        <v>0.68728358725761773</v>
      </c>
      <c r="S39">
        <f t="shared" si="17"/>
        <v>87.055871999999994</v>
      </c>
      <c r="T39">
        <f t="shared" si="8"/>
        <v>59.832071999999997</v>
      </c>
      <c r="U39">
        <v>2.3985968999999999E-2</v>
      </c>
      <c r="V39">
        <v>846.7</v>
      </c>
      <c r="W39">
        <f t="shared" si="18"/>
        <v>0</v>
      </c>
      <c r="X39">
        <f t="shared" si="19"/>
        <v>0</v>
      </c>
      <c r="Y39">
        <f t="shared" si="20"/>
        <v>0</v>
      </c>
      <c r="Z39">
        <f t="shared" si="21"/>
        <v>0</v>
      </c>
      <c r="AA39">
        <f t="shared" si="22"/>
        <v>6000</v>
      </c>
      <c r="AB39">
        <f t="shared" si="25"/>
        <v>3000</v>
      </c>
      <c r="AC39">
        <f t="shared" si="26"/>
        <v>2061.8507617728533</v>
      </c>
      <c r="AD39">
        <f t="shared" si="11"/>
        <v>3938.1492382271467</v>
      </c>
    </row>
    <row r="40" spans="1:30" x14ac:dyDescent="0.3">
      <c r="A40" s="10">
        <v>2</v>
      </c>
      <c r="B40">
        <f t="shared" si="27"/>
        <v>158</v>
      </c>
      <c r="C40">
        <v>85</v>
      </c>
      <c r="D40">
        <v>6000</v>
      </c>
      <c r="E40">
        <v>3000</v>
      </c>
      <c r="F40">
        <v>40</v>
      </c>
      <c r="G40">
        <v>40</v>
      </c>
      <c r="H40">
        <v>50</v>
      </c>
      <c r="I40">
        <v>0</v>
      </c>
      <c r="J40">
        <v>0</v>
      </c>
      <c r="K40">
        <v>0</v>
      </c>
      <c r="L40">
        <v>0</v>
      </c>
      <c r="M40">
        <v>1</v>
      </c>
      <c r="O40">
        <f t="shared" si="14"/>
        <v>19596.740000000002</v>
      </c>
      <c r="P40">
        <f t="shared" si="15"/>
        <v>5671.625</v>
      </c>
      <c r="Q40">
        <f t="shared" si="16"/>
        <v>2.3516088000000002</v>
      </c>
      <c r="R40">
        <f t="shared" si="7"/>
        <v>0.71058323986540617</v>
      </c>
      <c r="S40">
        <f t="shared" si="17"/>
        <v>94.064352000000014</v>
      </c>
      <c r="T40">
        <f t="shared" si="8"/>
        <v>66.840552000000002</v>
      </c>
      <c r="U40">
        <v>2.3985968999999999E-2</v>
      </c>
      <c r="V40">
        <v>846.7</v>
      </c>
      <c r="W40">
        <f t="shared" si="18"/>
        <v>0</v>
      </c>
      <c r="X40">
        <f t="shared" si="19"/>
        <v>0</v>
      </c>
      <c r="Y40">
        <f t="shared" si="20"/>
        <v>0</v>
      </c>
      <c r="Z40">
        <f t="shared" si="21"/>
        <v>0</v>
      </c>
      <c r="AA40">
        <f t="shared" si="22"/>
        <v>6000</v>
      </c>
      <c r="AB40">
        <f t="shared" si="25"/>
        <v>3000</v>
      </c>
      <c r="AC40">
        <f t="shared" si="26"/>
        <v>2131.7497195962187</v>
      </c>
      <c r="AD40">
        <f t="shared" si="11"/>
        <v>3868.2502804037813</v>
      </c>
    </row>
    <row r="41" spans="1:30" x14ac:dyDescent="0.3">
      <c r="A41" s="10">
        <v>2</v>
      </c>
      <c r="B41">
        <f t="shared" si="27"/>
        <v>164</v>
      </c>
      <c r="C41">
        <v>85</v>
      </c>
      <c r="D41">
        <v>6000</v>
      </c>
      <c r="E41">
        <v>3000</v>
      </c>
      <c r="F41">
        <v>40</v>
      </c>
      <c r="G41">
        <v>40</v>
      </c>
      <c r="H41">
        <v>50</v>
      </c>
      <c r="I41">
        <v>0</v>
      </c>
      <c r="J41">
        <v>0</v>
      </c>
      <c r="K41">
        <v>0</v>
      </c>
      <c r="L41">
        <v>0</v>
      </c>
      <c r="M41">
        <v>1</v>
      </c>
      <c r="O41">
        <f t="shared" si="14"/>
        <v>21113.360000000001</v>
      </c>
      <c r="P41">
        <f t="shared" si="15"/>
        <v>5671.625</v>
      </c>
      <c r="Q41">
        <f t="shared" si="16"/>
        <v>2.5336032000000004</v>
      </c>
      <c r="R41">
        <f t="shared" si="7"/>
        <v>0.73137269482450917</v>
      </c>
      <c r="S41">
        <f t="shared" si="17"/>
        <v>101.34412800000001</v>
      </c>
      <c r="T41">
        <f t="shared" si="8"/>
        <v>74.120328000000001</v>
      </c>
      <c r="U41">
        <v>2.3985968999999999E-2</v>
      </c>
      <c r="V41">
        <v>846.7</v>
      </c>
      <c r="W41">
        <f t="shared" si="18"/>
        <v>0</v>
      </c>
      <c r="X41">
        <f t="shared" si="19"/>
        <v>0</v>
      </c>
      <c r="Y41">
        <f t="shared" si="20"/>
        <v>0</v>
      </c>
      <c r="Z41">
        <f t="shared" si="21"/>
        <v>0</v>
      </c>
      <c r="AA41">
        <f t="shared" si="22"/>
        <v>6000</v>
      </c>
      <c r="AB41">
        <f t="shared" si="25"/>
        <v>3000</v>
      </c>
      <c r="AC41">
        <f t="shared" si="26"/>
        <v>2194.1180844735277</v>
      </c>
      <c r="AD41">
        <f t="shared" si="11"/>
        <v>3805.8819155264723</v>
      </c>
    </row>
    <row r="42" spans="1:30" x14ac:dyDescent="0.3">
      <c r="A42" s="10">
        <v>2</v>
      </c>
      <c r="B42">
        <f t="shared" si="27"/>
        <v>170</v>
      </c>
      <c r="C42">
        <v>85</v>
      </c>
      <c r="D42">
        <v>6000</v>
      </c>
      <c r="E42">
        <v>3000</v>
      </c>
      <c r="F42">
        <v>40</v>
      </c>
      <c r="G42">
        <v>40</v>
      </c>
      <c r="H42">
        <v>50</v>
      </c>
      <c r="I42">
        <v>0</v>
      </c>
      <c r="J42">
        <v>0</v>
      </c>
      <c r="K42">
        <v>0</v>
      </c>
      <c r="L42">
        <v>0</v>
      </c>
      <c r="M42">
        <v>1</v>
      </c>
      <c r="O42">
        <f t="shared" si="14"/>
        <v>22686.5</v>
      </c>
      <c r="P42">
        <f t="shared" si="15"/>
        <v>5671.625</v>
      </c>
      <c r="Q42">
        <f t="shared" si="16"/>
        <v>2.7223799999999998</v>
      </c>
      <c r="R42">
        <f t="shared" si="7"/>
        <v>0.75</v>
      </c>
      <c r="S42">
        <f t="shared" si="17"/>
        <v>108.89519999999999</v>
      </c>
      <c r="T42">
        <f t="shared" si="8"/>
        <v>81.671399999999991</v>
      </c>
      <c r="U42">
        <v>2.3985968999999999E-2</v>
      </c>
      <c r="V42">
        <v>846.7</v>
      </c>
      <c r="W42">
        <f t="shared" si="18"/>
        <v>0</v>
      </c>
      <c r="X42">
        <f t="shared" si="19"/>
        <v>0</v>
      </c>
      <c r="Y42">
        <f t="shared" si="20"/>
        <v>0</v>
      </c>
      <c r="Z42">
        <f t="shared" si="21"/>
        <v>0</v>
      </c>
      <c r="AA42">
        <f t="shared" si="22"/>
        <v>6000</v>
      </c>
      <c r="AB42">
        <f t="shared" si="25"/>
        <v>3000</v>
      </c>
      <c r="AC42">
        <f t="shared" si="26"/>
        <v>2250</v>
      </c>
      <c r="AD42">
        <f t="shared" si="11"/>
        <v>3750</v>
      </c>
    </row>
    <row r="43" spans="1:30" x14ac:dyDescent="0.3">
      <c r="A43">
        <v>2</v>
      </c>
      <c r="B43">
        <v>170</v>
      </c>
      <c r="C43">
        <f>C42+3</f>
        <v>88</v>
      </c>
      <c r="D43">
        <v>6000</v>
      </c>
      <c r="E43">
        <v>3000</v>
      </c>
      <c r="F43">
        <v>40</v>
      </c>
      <c r="G43">
        <v>40</v>
      </c>
      <c r="H43">
        <v>50</v>
      </c>
      <c r="I43">
        <v>0</v>
      </c>
      <c r="J43">
        <v>0</v>
      </c>
      <c r="K43">
        <v>0</v>
      </c>
      <c r="L43">
        <v>0</v>
      </c>
      <c r="M43">
        <v>1</v>
      </c>
      <c r="O43">
        <f t="shared" si="14"/>
        <v>22686.5</v>
      </c>
      <c r="P43">
        <f t="shared" si="15"/>
        <v>6079.04</v>
      </c>
      <c r="Q43">
        <f t="shared" si="16"/>
        <v>2.7223799999999998</v>
      </c>
      <c r="R43">
        <f t="shared" si="7"/>
        <v>0.73204152249134946</v>
      </c>
      <c r="S43">
        <f t="shared" si="17"/>
        <v>108.89519999999999</v>
      </c>
      <c r="T43">
        <f t="shared" si="8"/>
        <v>79.715807999999996</v>
      </c>
      <c r="U43">
        <v>2.3985968999999999E-2</v>
      </c>
      <c r="V43">
        <v>846.7</v>
      </c>
      <c r="W43">
        <f t="shared" si="18"/>
        <v>0</v>
      </c>
      <c r="X43">
        <f t="shared" si="19"/>
        <v>0</v>
      </c>
      <c r="Y43">
        <f t="shared" si="20"/>
        <v>0</v>
      </c>
      <c r="Z43">
        <f t="shared" si="21"/>
        <v>0</v>
      </c>
      <c r="AA43">
        <f t="shared" si="22"/>
        <v>6000</v>
      </c>
      <c r="AB43">
        <f t="shared" si="25"/>
        <v>3000</v>
      </c>
      <c r="AC43">
        <f t="shared" si="26"/>
        <v>2196.1245674740485</v>
      </c>
      <c r="AD43">
        <f t="shared" si="11"/>
        <v>3803.8754325259515</v>
      </c>
    </row>
    <row r="44" spans="1:30" x14ac:dyDescent="0.3">
      <c r="A44">
        <v>2</v>
      </c>
      <c r="B44">
        <v>170</v>
      </c>
      <c r="C44">
        <f t="shared" ref="C44:C46" si="28">C43+3</f>
        <v>91</v>
      </c>
      <c r="D44">
        <v>6000</v>
      </c>
      <c r="E44">
        <v>3000</v>
      </c>
      <c r="F44">
        <v>40</v>
      </c>
      <c r="G44">
        <v>40</v>
      </c>
      <c r="H44">
        <v>50</v>
      </c>
      <c r="I44">
        <v>0</v>
      </c>
      <c r="J44">
        <v>0</v>
      </c>
      <c r="K44">
        <v>0</v>
      </c>
      <c r="L44">
        <v>0</v>
      </c>
      <c r="M44">
        <v>1</v>
      </c>
      <c r="O44">
        <f t="shared" si="14"/>
        <v>22686.5</v>
      </c>
      <c r="P44">
        <f t="shared" si="15"/>
        <v>6500.585</v>
      </c>
      <c r="Q44">
        <f t="shared" si="16"/>
        <v>2.7223799999999998</v>
      </c>
      <c r="R44">
        <f t="shared" si="7"/>
        <v>0.71346020761245676</v>
      </c>
      <c r="S44">
        <f t="shared" si="17"/>
        <v>108.89519999999999</v>
      </c>
      <c r="T44">
        <f t="shared" si="8"/>
        <v>77.692391999999998</v>
      </c>
      <c r="U44">
        <v>2.3985968999999999E-2</v>
      </c>
      <c r="V44">
        <v>846.7</v>
      </c>
      <c r="W44">
        <f t="shared" si="18"/>
        <v>0</v>
      </c>
      <c r="X44">
        <f t="shared" si="19"/>
        <v>0</v>
      </c>
      <c r="Y44">
        <f t="shared" si="20"/>
        <v>0</v>
      </c>
      <c r="Z44">
        <f t="shared" si="21"/>
        <v>0</v>
      </c>
      <c r="AA44">
        <f t="shared" si="22"/>
        <v>6000</v>
      </c>
      <c r="AB44">
        <f t="shared" si="25"/>
        <v>3000</v>
      </c>
      <c r="AC44">
        <f t="shared" si="26"/>
        <v>2140.3806228373701</v>
      </c>
      <c r="AD44">
        <f t="shared" si="11"/>
        <v>3859.6193771626299</v>
      </c>
    </row>
    <row r="45" spans="1:30" x14ac:dyDescent="0.3">
      <c r="A45">
        <v>2</v>
      </c>
      <c r="B45">
        <v>170</v>
      </c>
      <c r="C45">
        <f t="shared" si="28"/>
        <v>94</v>
      </c>
      <c r="D45">
        <v>6000</v>
      </c>
      <c r="E45">
        <v>3000</v>
      </c>
      <c r="F45">
        <v>40</v>
      </c>
      <c r="G45">
        <v>40</v>
      </c>
      <c r="H45">
        <v>50</v>
      </c>
      <c r="I45">
        <v>0</v>
      </c>
      <c r="J45">
        <v>0</v>
      </c>
      <c r="K45">
        <v>0</v>
      </c>
      <c r="L45">
        <v>0</v>
      </c>
      <c r="M45">
        <v>1</v>
      </c>
      <c r="O45">
        <f t="shared" si="14"/>
        <v>22686.5</v>
      </c>
      <c r="P45">
        <f t="shared" si="15"/>
        <v>6936.26</v>
      </c>
      <c r="Q45">
        <f t="shared" si="16"/>
        <v>2.7223799999999998</v>
      </c>
      <c r="R45">
        <f t="shared" si="7"/>
        <v>0.6942560553633218</v>
      </c>
      <c r="S45">
        <f t="shared" si="17"/>
        <v>108.89519999999999</v>
      </c>
      <c r="T45">
        <f t="shared" si="8"/>
        <v>75.601151999999999</v>
      </c>
      <c r="U45">
        <v>2.3985968999999999E-2</v>
      </c>
      <c r="V45">
        <v>846.7</v>
      </c>
      <c r="W45">
        <f t="shared" si="18"/>
        <v>0</v>
      </c>
      <c r="X45">
        <f t="shared" si="19"/>
        <v>0</v>
      </c>
      <c r="Y45">
        <f t="shared" si="20"/>
        <v>0</v>
      </c>
      <c r="Z45">
        <f t="shared" si="21"/>
        <v>0</v>
      </c>
      <c r="AA45">
        <f t="shared" si="22"/>
        <v>6000</v>
      </c>
      <c r="AB45">
        <f t="shared" si="25"/>
        <v>3000</v>
      </c>
      <c r="AC45">
        <f t="shared" si="26"/>
        <v>2082.7681660899652</v>
      </c>
      <c r="AD45">
        <f t="shared" si="11"/>
        <v>3917.2318339100348</v>
      </c>
    </row>
    <row r="46" spans="1:30" x14ac:dyDescent="0.3">
      <c r="A46">
        <v>2</v>
      </c>
      <c r="B46">
        <v>170</v>
      </c>
      <c r="C46">
        <f t="shared" si="28"/>
        <v>97</v>
      </c>
      <c r="D46">
        <v>6000</v>
      </c>
      <c r="E46">
        <v>3000</v>
      </c>
      <c r="F46">
        <v>40</v>
      </c>
      <c r="G46">
        <v>40</v>
      </c>
      <c r="H46">
        <v>50</v>
      </c>
      <c r="I46">
        <v>0</v>
      </c>
      <c r="J46">
        <v>0</v>
      </c>
      <c r="K46">
        <v>0</v>
      </c>
      <c r="L46">
        <v>0</v>
      </c>
      <c r="M46">
        <v>1</v>
      </c>
      <c r="O46">
        <f t="shared" si="14"/>
        <v>22686.5</v>
      </c>
      <c r="P46">
        <f t="shared" si="15"/>
        <v>7386.0650000000005</v>
      </c>
      <c r="Q46">
        <f t="shared" si="16"/>
        <v>2.7223799999999998</v>
      </c>
      <c r="R46">
        <f t="shared" si="7"/>
        <v>0.67442906574394457</v>
      </c>
      <c r="S46">
        <f t="shared" si="17"/>
        <v>108.89519999999999</v>
      </c>
      <c r="T46">
        <f t="shared" si="8"/>
        <v>73.442087999999984</v>
      </c>
      <c r="U46">
        <v>2.3985968999999999E-2</v>
      </c>
      <c r="V46">
        <v>846.7</v>
      </c>
      <c r="W46">
        <f t="shared" si="18"/>
        <v>0</v>
      </c>
      <c r="X46">
        <f t="shared" si="19"/>
        <v>0</v>
      </c>
      <c r="Y46">
        <f t="shared" si="20"/>
        <v>0</v>
      </c>
      <c r="Z46">
        <f t="shared" si="21"/>
        <v>0</v>
      </c>
      <c r="AA46">
        <f t="shared" si="22"/>
        <v>6000</v>
      </c>
      <c r="AB46">
        <f t="shared" si="25"/>
        <v>3000</v>
      </c>
      <c r="AC46">
        <f t="shared" si="26"/>
        <v>2023.2871972318337</v>
      </c>
      <c r="AD46">
        <f t="shared" si="11"/>
        <v>3976.7128027681665</v>
      </c>
    </row>
    <row r="47" spans="1:30" x14ac:dyDescent="0.3">
      <c r="A47">
        <v>2</v>
      </c>
      <c r="B47">
        <v>170</v>
      </c>
      <c r="C47">
        <f>C46+3</f>
        <v>100</v>
      </c>
      <c r="D47">
        <v>6000</v>
      </c>
      <c r="E47">
        <v>3000</v>
      </c>
      <c r="F47">
        <v>40</v>
      </c>
      <c r="G47">
        <v>40</v>
      </c>
      <c r="H47">
        <v>50</v>
      </c>
      <c r="I47">
        <v>0</v>
      </c>
      <c r="J47">
        <v>0</v>
      </c>
      <c r="K47">
        <v>0</v>
      </c>
      <c r="L47">
        <v>0</v>
      </c>
      <c r="M47">
        <v>1</v>
      </c>
      <c r="O47">
        <f t="shared" si="14"/>
        <v>22686.5</v>
      </c>
      <c r="P47">
        <f t="shared" si="15"/>
        <v>7850</v>
      </c>
      <c r="Q47">
        <f t="shared" si="16"/>
        <v>2.7223799999999998</v>
      </c>
      <c r="R47">
        <f t="shared" si="7"/>
        <v>0.65397923875432529</v>
      </c>
      <c r="S47">
        <f t="shared" si="17"/>
        <v>108.89519999999999</v>
      </c>
      <c r="T47">
        <f t="shared" si="8"/>
        <v>71.215199999999996</v>
      </c>
      <c r="U47">
        <v>2.3985968999999999E-2</v>
      </c>
      <c r="V47">
        <v>846.7</v>
      </c>
      <c r="W47">
        <f t="shared" si="18"/>
        <v>0</v>
      </c>
      <c r="X47">
        <f t="shared" si="19"/>
        <v>0</v>
      </c>
      <c r="Y47">
        <f t="shared" si="20"/>
        <v>0</v>
      </c>
      <c r="Z47">
        <f t="shared" si="21"/>
        <v>0</v>
      </c>
      <c r="AA47">
        <f t="shared" si="22"/>
        <v>6000</v>
      </c>
      <c r="AB47">
        <f t="shared" si="25"/>
        <v>3000</v>
      </c>
      <c r="AC47">
        <f t="shared" si="26"/>
        <v>1961.9377162629758</v>
      </c>
      <c r="AD47">
        <f t="shared" si="11"/>
        <v>4038.0622837370242</v>
      </c>
    </row>
    <row r="48" spans="1:30" x14ac:dyDescent="0.3">
      <c r="A48" s="10">
        <v>2</v>
      </c>
      <c r="B48">
        <v>140</v>
      </c>
      <c r="C48">
        <v>85</v>
      </c>
      <c r="D48">
        <v>6000</v>
      </c>
      <c r="E48">
        <v>3000</v>
      </c>
      <c r="F48">
        <v>50</v>
      </c>
      <c r="G48">
        <v>40</v>
      </c>
      <c r="H48">
        <v>50</v>
      </c>
      <c r="I48">
        <v>0</v>
      </c>
      <c r="J48">
        <v>0</v>
      </c>
      <c r="K48">
        <v>0</v>
      </c>
      <c r="L48">
        <v>0</v>
      </c>
      <c r="M48">
        <v>0</v>
      </c>
      <c r="O48">
        <f t="shared" si="14"/>
        <v>15386</v>
      </c>
      <c r="P48">
        <f t="shared" si="15"/>
        <v>5671.625</v>
      </c>
      <c r="Q48">
        <f t="shared" si="16"/>
        <v>1.84632</v>
      </c>
      <c r="R48">
        <f t="shared" si="7"/>
        <v>0.63137755102040816</v>
      </c>
      <c r="S48">
        <f t="shared" si="17"/>
        <v>73.852800000000002</v>
      </c>
      <c r="T48">
        <f t="shared" si="8"/>
        <v>46.628999999999998</v>
      </c>
      <c r="U48">
        <v>2.3450401999999999E-2</v>
      </c>
      <c r="V48">
        <v>857.8</v>
      </c>
      <c r="W48">
        <f t="shared" si="18"/>
        <v>0</v>
      </c>
      <c r="X48">
        <f t="shared" si="19"/>
        <v>0</v>
      </c>
      <c r="Y48">
        <f t="shared" si="20"/>
        <v>0</v>
      </c>
      <c r="Z48">
        <f t="shared" si="21"/>
        <v>0</v>
      </c>
      <c r="AA48">
        <f t="shared" si="22"/>
        <v>6000</v>
      </c>
      <c r="AB48">
        <f t="shared" si="25"/>
        <v>3000</v>
      </c>
      <c r="AC48">
        <f t="shared" si="26"/>
        <v>1894.1326530612246</v>
      </c>
      <c r="AD48">
        <f t="shared" si="11"/>
        <v>4105.8673469387759</v>
      </c>
    </row>
    <row r="49" spans="1:30" x14ac:dyDescent="0.3">
      <c r="A49" s="10">
        <v>2</v>
      </c>
      <c r="B49">
        <v>140</v>
      </c>
      <c r="C49">
        <v>85</v>
      </c>
      <c r="D49">
        <v>6000</v>
      </c>
      <c r="E49">
        <v>3000</v>
      </c>
      <c r="F49">
        <v>60</v>
      </c>
      <c r="G49">
        <v>40</v>
      </c>
      <c r="H49">
        <v>50</v>
      </c>
      <c r="I49">
        <v>0</v>
      </c>
      <c r="J49">
        <v>0</v>
      </c>
      <c r="K49">
        <v>0</v>
      </c>
      <c r="L49">
        <v>0</v>
      </c>
      <c r="M49">
        <v>0</v>
      </c>
      <c r="O49">
        <f t="shared" si="14"/>
        <v>15386</v>
      </c>
      <c r="P49">
        <f t="shared" si="15"/>
        <v>5671.625</v>
      </c>
      <c r="Q49">
        <f t="shared" si="16"/>
        <v>1.84632</v>
      </c>
      <c r="R49">
        <f t="shared" si="7"/>
        <v>0.63137755102040816</v>
      </c>
      <c r="S49">
        <f t="shared" si="17"/>
        <v>73.852800000000002</v>
      </c>
      <c r="T49">
        <f t="shared" si="8"/>
        <v>46.628999999999998</v>
      </c>
      <c r="U49">
        <v>2.3450401999999999E-2</v>
      </c>
      <c r="V49">
        <v>857.8</v>
      </c>
      <c r="W49">
        <f t="shared" si="18"/>
        <v>0</v>
      </c>
      <c r="X49">
        <f t="shared" si="19"/>
        <v>0</v>
      </c>
      <c r="Y49">
        <f t="shared" si="20"/>
        <v>0</v>
      </c>
      <c r="Z49">
        <f t="shared" si="21"/>
        <v>0</v>
      </c>
      <c r="AA49">
        <f t="shared" si="22"/>
        <v>6000</v>
      </c>
      <c r="AB49">
        <f t="shared" si="25"/>
        <v>3000</v>
      </c>
      <c r="AC49">
        <f t="shared" si="26"/>
        <v>1894.1326530612246</v>
      </c>
      <c r="AD49">
        <f t="shared" si="11"/>
        <v>4105.8673469387759</v>
      </c>
    </row>
    <row r="50" spans="1:30" x14ac:dyDescent="0.3">
      <c r="A50" s="10">
        <v>2</v>
      </c>
      <c r="B50">
        <v>140</v>
      </c>
      <c r="C50">
        <v>85</v>
      </c>
      <c r="D50">
        <v>6000</v>
      </c>
      <c r="E50">
        <v>3000</v>
      </c>
      <c r="F50">
        <v>70</v>
      </c>
      <c r="G50">
        <v>40</v>
      </c>
      <c r="H50">
        <v>50</v>
      </c>
      <c r="I50">
        <v>0</v>
      </c>
      <c r="J50">
        <v>0</v>
      </c>
      <c r="K50">
        <v>0</v>
      </c>
      <c r="L50">
        <v>0</v>
      </c>
      <c r="M50">
        <v>0</v>
      </c>
      <c r="O50">
        <f t="shared" si="14"/>
        <v>15386</v>
      </c>
      <c r="P50">
        <f t="shared" si="15"/>
        <v>5671.625</v>
      </c>
      <c r="Q50">
        <f t="shared" si="16"/>
        <v>1.84632</v>
      </c>
      <c r="R50">
        <f t="shared" si="7"/>
        <v>0.63137755102040816</v>
      </c>
      <c r="S50">
        <f t="shared" si="17"/>
        <v>73.852800000000002</v>
      </c>
      <c r="T50">
        <f t="shared" si="8"/>
        <v>46.628999999999998</v>
      </c>
      <c r="U50">
        <v>2.3450401999999999E-2</v>
      </c>
      <c r="V50">
        <v>857.8</v>
      </c>
      <c r="W50">
        <f t="shared" si="18"/>
        <v>0</v>
      </c>
      <c r="X50">
        <f t="shared" si="19"/>
        <v>0</v>
      </c>
      <c r="Y50">
        <f t="shared" si="20"/>
        <v>0</v>
      </c>
      <c r="Z50">
        <f t="shared" si="21"/>
        <v>0</v>
      </c>
      <c r="AA50">
        <f t="shared" si="22"/>
        <v>6000</v>
      </c>
      <c r="AB50">
        <f t="shared" si="25"/>
        <v>3000</v>
      </c>
      <c r="AC50">
        <f t="shared" si="26"/>
        <v>1894.1326530612246</v>
      </c>
      <c r="AD50">
        <f t="shared" si="11"/>
        <v>4105.8673469387759</v>
      </c>
    </row>
    <row r="51" spans="1:30" x14ac:dyDescent="0.3">
      <c r="A51" s="10">
        <v>2</v>
      </c>
      <c r="B51">
        <v>140</v>
      </c>
      <c r="C51">
        <v>85</v>
      </c>
      <c r="D51">
        <v>6000</v>
      </c>
      <c r="E51">
        <v>3000</v>
      </c>
      <c r="F51">
        <v>80</v>
      </c>
      <c r="G51">
        <v>40</v>
      </c>
      <c r="H51">
        <v>50</v>
      </c>
      <c r="I51">
        <v>0</v>
      </c>
      <c r="J51">
        <v>0</v>
      </c>
      <c r="K51">
        <v>0</v>
      </c>
      <c r="L51">
        <v>0</v>
      </c>
      <c r="M51">
        <v>0</v>
      </c>
      <c r="O51">
        <f t="shared" si="14"/>
        <v>15386</v>
      </c>
      <c r="P51">
        <f t="shared" si="15"/>
        <v>5671.625</v>
      </c>
      <c r="Q51">
        <f t="shared" si="16"/>
        <v>1.84632</v>
      </c>
      <c r="R51">
        <f t="shared" si="7"/>
        <v>0.63137755102040816</v>
      </c>
      <c r="S51">
        <f t="shared" si="17"/>
        <v>73.852800000000002</v>
      </c>
      <c r="T51">
        <f t="shared" si="8"/>
        <v>46.628999999999998</v>
      </c>
      <c r="U51">
        <v>2.3450401999999999E-2</v>
      </c>
      <c r="V51">
        <v>857.8</v>
      </c>
      <c r="W51">
        <f t="shared" si="18"/>
        <v>0</v>
      </c>
      <c r="X51">
        <f t="shared" si="19"/>
        <v>0</v>
      </c>
      <c r="Y51">
        <f t="shared" si="20"/>
        <v>0</v>
      </c>
      <c r="Z51">
        <f t="shared" si="21"/>
        <v>0</v>
      </c>
      <c r="AA51">
        <f t="shared" si="22"/>
        <v>6000</v>
      </c>
      <c r="AB51">
        <f t="shared" si="25"/>
        <v>3000</v>
      </c>
      <c r="AC51">
        <f t="shared" si="26"/>
        <v>1894.1326530612246</v>
      </c>
      <c r="AD51">
        <f t="shared" si="11"/>
        <v>4105.8673469387759</v>
      </c>
    </row>
    <row r="52" spans="1:30" x14ac:dyDescent="0.3">
      <c r="A52" s="10">
        <v>2</v>
      </c>
      <c r="B52">
        <v>140</v>
      </c>
      <c r="C52">
        <v>85</v>
      </c>
      <c r="D52">
        <v>6000</v>
      </c>
      <c r="E52">
        <v>3000</v>
      </c>
      <c r="F52">
        <v>90</v>
      </c>
      <c r="G52">
        <v>40</v>
      </c>
      <c r="H52">
        <v>50</v>
      </c>
      <c r="I52">
        <v>0</v>
      </c>
      <c r="J52">
        <v>0</v>
      </c>
      <c r="K52">
        <v>0</v>
      </c>
      <c r="L52">
        <v>0</v>
      </c>
      <c r="M52">
        <v>0</v>
      </c>
      <c r="O52">
        <f t="shared" si="14"/>
        <v>15386</v>
      </c>
      <c r="P52">
        <f t="shared" si="15"/>
        <v>5671.625</v>
      </c>
      <c r="Q52">
        <f t="shared" si="16"/>
        <v>1.84632</v>
      </c>
      <c r="R52">
        <f t="shared" si="7"/>
        <v>0.63137755102040816</v>
      </c>
      <c r="S52">
        <f t="shared" si="17"/>
        <v>73.852800000000002</v>
      </c>
      <c r="T52">
        <f t="shared" si="8"/>
        <v>46.628999999999998</v>
      </c>
      <c r="U52">
        <v>2.3450401999999999E-2</v>
      </c>
      <c r="V52">
        <v>857.8</v>
      </c>
      <c r="W52">
        <f t="shared" si="18"/>
        <v>0</v>
      </c>
      <c r="X52">
        <f t="shared" si="19"/>
        <v>0</v>
      </c>
      <c r="Y52">
        <f t="shared" si="20"/>
        <v>0</v>
      </c>
      <c r="Z52">
        <f t="shared" si="21"/>
        <v>0</v>
      </c>
      <c r="AA52">
        <f t="shared" si="22"/>
        <v>6000</v>
      </c>
      <c r="AB52">
        <f t="shared" si="25"/>
        <v>3000</v>
      </c>
      <c r="AC52">
        <f t="shared" si="26"/>
        <v>1894.1326530612246</v>
      </c>
      <c r="AD52">
        <f t="shared" si="11"/>
        <v>4105.8673469387759</v>
      </c>
    </row>
    <row r="53" spans="1:30" x14ac:dyDescent="0.3">
      <c r="A53" s="8">
        <v>2</v>
      </c>
      <c r="B53">
        <f t="shared" ref="B53" si="29">B52+2</f>
        <v>142</v>
      </c>
      <c r="C53">
        <f t="shared" ref="C53" si="30">C52+1</f>
        <v>86</v>
      </c>
      <c r="D53">
        <f>D52+20</f>
        <v>6020</v>
      </c>
      <c r="E53">
        <f>E52+20</f>
        <v>3020</v>
      </c>
      <c r="F53">
        <v>40</v>
      </c>
      <c r="G53">
        <v>40</v>
      </c>
      <c r="H53">
        <v>50</v>
      </c>
      <c r="I53">
        <v>3</v>
      </c>
      <c r="J53">
        <v>1</v>
      </c>
      <c r="K53">
        <v>2</v>
      </c>
      <c r="L53">
        <v>1</v>
      </c>
      <c r="M53">
        <v>0</v>
      </c>
      <c r="O53">
        <f t="shared" si="14"/>
        <v>15828.74</v>
      </c>
      <c r="P53">
        <f t="shared" si="15"/>
        <v>5805.8600000000006</v>
      </c>
      <c r="Q53">
        <f t="shared" si="16"/>
        <v>1.8994488</v>
      </c>
      <c r="R53">
        <f t="shared" si="7"/>
        <v>0.63320769688553857</v>
      </c>
      <c r="S53">
        <f t="shared" si="17"/>
        <v>75.977952000000002</v>
      </c>
      <c r="T53">
        <f t="shared" si="8"/>
        <v>48.109824000000003</v>
      </c>
      <c r="U53">
        <v>2.3450401999999999E-2</v>
      </c>
      <c r="V53">
        <v>857.8</v>
      </c>
      <c r="W53">
        <f t="shared" si="18"/>
        <v>2573.3999999999996</v>
      </c>
      <c r="X53">
        <f t="shared" si="19"/>
        <v>2.3450401999999999E-2</v>
      </c>
      <c r="Y53">
        <f t="shared" si="20"/>
        <v>1715.6</v>
      </c>
      <c r="Z53">
        <f t="shared" si="21"/>
        <v>2.3450401999999999E-2</v>
      </c>
      <c r="AA53">
        <f t="shared" si="22"/>
        <v>-14849317.207553666</v>
      </c>
      <c r="AB53">
        <f t="shared" si="25"/>
        <v>-4050368.0556619111</v>
      </c>
      <c r="AC53">
        <f t="shared" si="26"/>
        <v>-2564724.2280644355</v>
      </c>
      <c r="AD53">
        <f t="shared" si="11"/>
        <v>0</v>
      </c>
    </row>
    <row r="54" spans="1:30" x14ac:dyDescent="0.3">
      <c r="A54" s="8"/>
    </row>
    <row r="55" spans="1:30" x14ac:dyDescent="0.3">
      <c r="A55" s="8"/>
    </row>
    <row r="56" spans="1:30" x14ac:dyDescent="0.3">
      <c r="A56" s="8"/>
    </row>
    <row r="57" spans="1:30" x14ac:dyDescent="0.3">
      <c r="A57" s="8"/>
    </row>
    <row r="58" spans="1:30" x14ac:dyDescent="0.3">
      <c r="A58" s="8"/>
    </row>
    <row r="59" spans="1:30" x14ac:dyDescent="0.3">
      <c r="A59" s="8"/>
    </row>
    <row r="60" spans="1:30" x14ac:dyDescent="0.3">
      <c r="A60" s="8"/>
    </row>
    <row r="62" spans="1:30" x14ac:dyDescent="0.3">
      <c r="A62" s="8"/>
    </row>
    <row r="82" spans="5:10" x14ac:dyDescent="0.3">
      <c r="E82" s="7"/>
      <c r="F82" s="7"/>
      <c r="G82" s="7"/>
      <c r="H82" s="7"/>
      <c r="I82" s="7"/>
      <c r="J82" s="7"/>
    </row>
  </sheetData>
  <mergeCells count="2">
    <mergeCell ref="A1:M1"/>
    <mergeCell ref="O1:AD1"/>
  </mergeCells>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
  <sheetViews>
    <sheetView workbookViewId="0">
      <selection activeCell="A28" sqref="A28"/>
    </sheetView>
  </sheetViews>
  <sheetFormatPr defaultRowHeight="14.4" x14ac:dyDescent="0.3"/>
  <cols>
    <col min="1" max="1" width="16" bestFit="1" customWidth="1"/>
    <col min="2" max="2" width="13.88671875" bestFit="1" customWidth="1"/>
    <col min="3" max="4" width="13.88671875" customWidth="1"/>
    <col min="5" max="5" width="17.6640625" customWidth="1"/>
    <col min="6" max="6" width="16.5546875" bestFit="1" customWidth="1"/>
    <col min="7" max="7" width="16.5546875" customWidth="1"/>
    <col min="8" max="8" width="20.6640625" bestFit="1" customWidth="1"/>
    <col min="9" max="9" width="17.5546875" bestFit="1" customWidth="1"/>
    <col min="10" max="10" width="19.5546875" bestFit="1" customWidth="1"/>
  </cols>
  <sheetData>
    <row r="1" spans="1:10" ht="25.8" x14ac:dyDescent="0.5">
      <c r="A1" s="24" t="s">
        <v>36</v>
      </c>
      <c r="B1" s="25"/>
      <c r="C1" s="25"/>
      <c r="D1" s="25"/>
      <c r="E1" s="25"/>
      <c r="F1" s="25"/>
      <c r="G1" s="24" t="s">
        <v>37</v>
      </c>
      <c r="H1" s="25"/>
      <c r="I1" s="25"/>
      <c r="J1" s="25"/>
    </row>
    <row r="2" spans="1:10" ht="72" x14ac:dyDescent="0.3">
      <c r="A2" s="15" t="s">
        <v>38</v>
      </c>
      <c r="B2" s="14" t="s">
        <v>14</v>
      </c>
      <c r="C2" s="14" t="s">
        <v>42</v>
      </c>
      <c r="D2" s="14" t="s">
        <v>43</v>
      </c>
      <c r="E2" s="15" t="s">
        <v>39</v>
      </c>
      <c r="F2" s="15" t="s">
        <v>40</v>
      </c>
      <c r="G2" s="11"/>
      <c r="H2" s="12" t="s">
        <v>41</v>
      </c>
      <c r="I2" s="13" t="s">
        <v>44</v>
      </c>
      <c r="J2" s="13" t="s">
        <v>45</v>
      </c>
    </row>
    <row r="3" spans="1:10" x14ac:dyDescent="0.3">
      <c r="A3" s="8">
        <v>10</v>
      </c>
      <c r="B3">
        <v>10</v>
      </c>
      <c r="C3">
        <v>1000</v>
      </c>
      <c r="D3">
        <v>100</v>
      </c>
      <c r="E3">
        <v>1290</v>
      </c>
      <c r="F3">
        <v>575</v>
      </c>
      <c r="H3">
        <f>C3-D3</f>
        <v>900</v>
      </c>
      <c r="I3">
        <f>((A3/50)*(H3))+F3</f>
        <v>755</v>
      </c>
      <c r="J3">
        <v>1</v>
      </c>
    </row>
    <row r="4" spans="1:10" x14ac:dyDescent="0.3">
      <c r="A4" s="8">
        <v>30</v>
      </c>
      <c r="B4">
        <v>10</v>
      </c>
      <c r="C4">
        <v>1000</v>
      </c>
      <c r="D4">
        <v>100</v>
      </c>
      <c r="E4">
        <v>1290</v>
      </c>
      <c r="F4">
        <v>575</v>
      </c>
      <c r="H4">
        <f>C4-D4</f>
        <v>900</v>
      </c>
      <c r="I4">
        <f>((A4/50)*(H4))+F4</f>
        <v>1115</v>
      </c>
      <c r="J4">
        <v>1</v>
      </c>
    </row>
    <row r="5" spans="1:10" x14ac:dyDescent="0.3">
      <c r="A5">
        <v>10</v>
      </c>
      <c r="B5">
        <v>20</v>
      </c>
      <c r="C5">
        <v>2000</v>
      </c>
      <c r="D5">
        <v>200</v>
      </c>
      <c r="E5">
        <v>1700</v>
      </c>
      <c r="F5">
        <v>650</v>
      </c>
      <c r="H5">
        <f>C5-D5</f>
        <v>1800</v>
      </c>
      <c r="I5">
        <f>((A5/50)*(H5))+F5</f>
        <v>1010</v>
      </c>
      <c r="J5">
        <v>1</v>
      </c>
    </row>
    <row r="6" spans="1:10" x14ac:dyDescent="0.3">
      <c r="A6">
        <v>30</v>
      </c>
      <c r="B6">
        <v>20</v>
      </c>
      <c r="C6">
        <v>2000</v>
      </c>
      <c r="D6">
        <v>200</v>
      </c>
      <c r="E6">
        <v>1700</v>
      </c>
      <c r="F6">
        <v>650</v>
      </c>
      <c r="H6">
        <f t="shared" ref="H6:H25" si="0">C6-D6</f>
        <v>1800</v>
      </c>
      <c r="I6">
        <f t="shared" ref="I6:I25" si="1">((A6/50)*(H6))+F6</f>
        <v>1730</v>
      </c>
      <c r="J6">
        <v>1</v>
      </c>
    </row>
    <row r="7" spans="1:10" x14ac:dyDescent="0.3">
      <c r="A7" s="8">
        <v>10</v>
      </c>
      <c r="B7">
        <v>30</v>
      </c>
      <c r="C7">
        <v>3000</v>
      </c>
      <c r="D7">
        <v>300</v>
      </c>
      <c r="E7">
        <v>2100</v>
      </c>
      <c r="F7">
        <v>950</v>
      </c>
      <c r="H7">
        <f t="shared" si="0"/>
        <v>2700</v>
      </c>
      <c r="I7">
        <f t="shared" si="1"/>
        <v>1490</v>
      </c>
      <c r="J7">
        <v>1</v>
      </c>
    </row>
    <row r="8" spans="1:10" x14ac:dyDescent="0.3">
      <c r="A8" s="8">
        <v>30</v>
      </c>
      <c r="B8">
        <v>30</v>
      </c>
      <c r="C8">
        <v>3000</v>
      </c>
      <c r="D8">
        <v>300</v>
      </c>
      <c r="E8">
        <v>2100</v>
      </c>
      <c r="F8">
        <v>950</v>
      </c>
      <c r="H8">
        <f t="shared" si="0"/>
        <v>2700</v>
      </c>
      <c r="I8">
        <f t="shared" si="1"/>
        <v>2570</v>
      </c>
      <c r="J8">
        <v>1</v>
      </c>
    </row>
    <row r="9" spans="1:10" x14ac:dyDescent="0.3">
      <c r="A9">
        <v>10</v>
      </c>
      <c r="B9">
        <v>40</v>
      </c>
      <c r="C9">
        <v>4000</v>
      </c>
      <c r="D9">
        <v>400</v>
      </c>
      <c r="E9">
        <v>2200</v>
      </c>
      <c r="F9">
        <v>1200</v>
      </c>
      <c r="H9">
        <f t="shared" si="0"/>
        <v>3600</v>
      </c>
      <c r="I9">
        <f t="shared" si="1"/>
        <v>1920</v>
      </c>
      <c r="J9">
        <v>1</v>
      </c>
    </row>
    <row r="10" spans="1:10" x14ac:dyDescent="0.3">
      <c r="A10">
        <v>30</v>
      </c>
      <c r="B10">
        <v>40</v>
      </c>
      <c r="C10">
        <v>4000</v>
      </c>
      <c r="D10">
        <v>400</v>
      </c>
      <c r="E10">
        <v>2200</v>
      </c>
      <c r="F10">
        <v>1200</v>
      </c>
      <c r="H10">
        <f t="shared" si="0"/>
        <v>3600</v>
      </c>
      <c r="I10">
        <f t="shared" si="1"/>
        <v>3360</v>
      </c>
      <c r="J10">
        <v>1</v>
      </c>
    </row>
    <row r="11" spans="1:10" x14ac:dyDescent="0.3">
      <c r="A11" s="8">
        <v>10</v>
      </c>
      <c r="B11">
        <v>50</v>
      </c>
      <c r="C11">
        <v>5000</v>
      </c>
      <c r="D11">
        <v>500</v>
      </c>
      <c r="E11">
        <v>2400</v>
      </c>
      <c r="F11">
        <v>1400</v>
      </c>
      <c r="H11">
        <f t="shared" si="0"/>
        <v>4500</v>
      </c>
      <c r="I11">
        <f t="shared" si="1"/>
        <v>2300</v>
      </c>
      <c r="J11">
        <v>1</v>
      </c>
    </row>
    <row r="12" spans="1:10" x14ac:dyDescent="0.3">
      <c r="A12" s="8">
        <f>A11+10</f>
        <v>20</v>
      </c>
      <c r="B12">
        <v>50</v>
      </c>
      <c r="C12">
        <v>5000</v>
      </c>
      <c r="D12">
        <v>500</v>
      </c>
      <c r="E12">
        <v>2400</v>
      </c>
      <c r="F12">
        <v>1400</v>
      </c>
      <c r="H12">
        <f t="shared" si="0"/>
        <v>4500</v>
      </c>
      <c r="I12">
        <f t="shared" si="1"/>
        <v>3200</v>
      </c>
      <c r="J12">
        <v>1</v>
      </c>
    </row>
    <row r="13" spans="1:10" x14ac:dyDescent="0.3">
      <c r="A13" s="8">
        <f t="shared" ref="A13:A14" si="2">A12+10</f>
        <v>30</v>
      </c>
      <c r="B13">
        <v>50</v>
      </c>
      <c r="C13">
        <v>5000</v>
      </c>
      <c r="D13">
        <v>500</v>
      </c>
      <c r="E13">
        <v>2400</v>
      </c>
      <c r="F13">
        <v>1400</v>
      </c>
      <c r="H13">
        <f t="shared" si="0"/>
        <v>4500</v>
      </c>
      <c r="I13">
        <f t="shared" si="1"/>
        <v>4100</v>
      </c>
      <c r="J13">
        <v>1</v>
      </c>
    </row>
    <row r="14" spans="1:10" x14ac:dyDescent="0.3">
      <c r="A14" s="8">
        <f t="shared" si="2"/>
        <v>40</v>
      </c>
      <c r="B14">
        <v>50</v>
      </c>
      <c r="C14">
        <v>5000</v>
      </c>
      <c r="D14">
        <v>500</v>
      </c>
      <c r="E14">
        <v>2400</v>
      </c>
      <c r="F14">
        <v>1400</v>
      </c>
      <c r="H14">
        <f t="shared" si="0"/>
        <v>4500</v>
      </c>
      <c r="I14">
        <f t="shared" si="1"/>
        <v>5000</v>
      </c>
      <c r="J14">
        <v>1</v>
      </c>
    </row>
    <row r="15" spans="1:10" x14ac:dyDescent="0.3">
      <c r="A15">
        <v>10</v>
      </c>
      <c r="B15">
        <v>60</v>
      </c>
      <c r="C15">
        <v>6000</v>
      </c>
      <c r="D15">
        <v>600</v>
      </c>
      <c r="E15">
        <v>3250</v>
      </c>
      <c r="F15">
        <v>1750</v>
      </c>
      <c r="H15">
        <f t="shared" si="0"/>
        <v>5400</v>
      </c>
      <c r="I15">
        <f t="shared" si="1"/>
        <v>2830</v>
      </c>
      <c r="J15">
        <v>0.5</v>
      </c>
    </row>
    <row r="16" spans="1:10" x14ac:dyDescent="0.3">
      <c r="A16">
        <f>A15+5</f>
        <v>15</v>
      </c>
      <c r="B16">
        <v>60</v>
      </c>
      <c r="C16">
        <v>6000</v>
      </c>
      <c r="D16">
        <v>600</v>
      </c>
      <c r="E16">
        <v>3250</v>
      </c>
      <c r="F16">
        <v>1750</v>
      </c>
      <c r="H16">
        <f t="shared" si="0"/>
        <v>5400</v>
      </c>
      <c r="I16">
        <f t="shared" si="1"/>
        <v>3370</v>
      </c>
      <c r="J16">
        <v>0.5</v>
      </c>
    </row>
    <row r="17" spans="1:10" x14ac:dyDescent="0.3">
      <c r="A17">
        <f t="shared" ref="A17:A22" si="3">A16+5</f>
        <v>20</v>
      </c>
      <c r="B17">
        <v>60</v>
      </c>
      <c r="C17">
        <v>6000</v>
      </c>
      <c r="D17">
        <v>600</v>
      </c>
      <c r="E17">
        <v>3250</v>
      </c>
      <c r="F17">
        <v>1750</v>
      </c>
      <c r="H17">
        <f t="shared" si="0"/>
        <v>5400</v>
      </c>
      <c r="I17">
        <f t="shared" si="1"/>
        <v>3910</v>
      </c>
      <c r="J17">
        <v>0.5</v>
      </c>
    </row>
    <row r="18" spans="1:10" x14ac:dyDescent="0.3">
      <c r="A18">
        <f t="shared" si="3"/>
        <v>25</v>
      </c>
      <c r="B18">
        <v>60</v>
      </c>
      <c r="C18">
        <v>6000</v>
      </c>
      <c r="D18">
        <v>600</v>
      </c>
      <c r="E18">
        <v>3250</v>
      </c>
      <c r="F18">
        <v>1750</v>
      </c>
      <c r="H18">
        <f t="shared" si="0"/>
        <v>5400</v>
      </c>
      <c r="I18">
        <f t="shared" si="1"/>
        <v>4450</v>
      </c>
      <c r="J18">
        <v>0.5</v>
      </c>
    </row>
    <row r="19" spans="1:10" x14ac:dyDescent="0.3">
      <c r="A19">
        <f t="shared" si="3"/>
        <v>30</v>
      </c>
      <c r="B19">
        <v>60</v>
      </c>
      <c r="C19">
        <v>6000</v>
      </c>
      <c r="D19">
        <v>600</v>
      </c>
      <c r="E19">
        <v>3250</v>
      </c>
      <c r="F19">
        <v>1750</v>
      </c>
      <c r="H19">
        <f t="shared" si="0"/>
        <v>5400</v>
      </c>
      <c r="I19">
        <f t="shared" si="1"/>
        <v>4990</v>
      </c>
      <c r="J19">
        <v>0.5</v>
      </c>
    </row>
    <row r="20" spans="1:10" x14ac:dyDescent="0.3">
      <c r="A20">
        <f t="shared" si="3"/>
        <v>35</v>
      </c>
      <c r="B20">
        <v>60</v>
      </c>
      <c r="C20">
        <v>6000</v>
      </c>
      <c r="D20">
        <v>600</v>
      </c>
      <c r="E20">
        <v>3250</v>
      </c>
      <c r="F20">
        <v>1750</v>
      </c>
      <c r="H20">
        <f t="shared" si="0"/>
        <v>5400</v>
      </c>
      <c r="I20">
        <f t="shared" si="1"/>
        <v>5530</v>
      </c>
      <c r="J20">
        <v>0.5</v>
      </c>
    </row>
    <row r="21" spans="1:10" x14ac:dyDescent="0.3">
      <c r="A21">
        <f t="shared" si="3"/>
        <v>40</v>
      </c>
      <c r="B21">
        <v>60</v>
      </c>
      <c r="C21">
        <v>6000</v>
      </c>
      <c r="D21">
        <v>600</v>
      </c>
      <c r="E21">
        <v>3250</v>
      </c>
      <c r="F21">
        <v>1750</v>
      </c>
      <c r="H21">
        <f t="shared" si="0"/>
        <v>5400</v>
      </c>
      <c r="I21">
        <f t="shared" si="1"/>
        <v>6070</v>
      </c>
      <c r="J21">
        <v>0.5</v>
      </c>
    </row>
    <row r="22" spans="1:10" x14ac:dyDescent="0.3">
      <c r="A22">
        <f t="shared" si="3"/>
        <v>45</v>
      </c>
      <c r="B22">
        <v>60</v>
      </c>
      <c r="C22">
        <v>6000</v>
      </c>
      <c r="D22">
        <v>600</v>
      </c>
      <c r="E22">
        <v>3250</v>
      </c>
      <c r="F22">
        <v>1750</v>
      </c>
      <c r="H22">
        <f t="shared" si="0"/>
        <v>5400</v>
      </c>
      <c r="I22">
        <f t="shared" si="1"/>
        <v>6610</v>
      </c>
      <c r="J22">
        <v>0.5</v>
      </c>
    </row>
    <row r="23" spans="1:10" x14ac:dyDescent="0.3">
      <c r="A23" s="8">
        <v>30</v>
      </c>
      <c r="B23">
        <v>70</v>
      </c>
      <c r="C23">
        <v>7000</v>
      </c>
      <c r="D23">
        <v>700</v>
      </c>
      <c r="E23">
        <v>3500</v>
      </c>
      <c r="F23">
        <v>2000</v>
      </c>
      <c r="H23">
        <f t="shared" si="0"/>
        <v>6300</v>
      </c>
      <c r="I23">
        <f t="shared" si="1"/>
        <v>5780</v>
      </c>
      <c r="J23">
        <v>1</v>
      </c>
    </row>
    <row r="24" spans="1:10" x14ac:dyDescent="0.3">
      <c r="A24">
        <v>30</v>
      </c>
      <c r="B24">
        <v>80</v>
      </c>
      <c r="C24">
        <v>8000</v>
      </c>
      <c r="D24">
        <v>800</v>
      </c>
      <c r="E24">
        <v>4000</v>
      </c>
      <c r="F24">
        <v>2100</v>
      </c>
      <c r="H24">
        <f t="shared" si="0"/>
        <v>7200</v>
      </c>
      <c r="I24">
        <f t="shared" si="1"/>
        <v>6420</v>
      </c>
      <c r="J24">
        <v>1</v>
      </c>
    </row>
    <row r="25" spans="1:10" x14ac:dyDescent="0.3">
      <c r="A25" s="8">
        <v>30</v>
      </c>
      <c r="B25">
        <v>90</v>
      </c>
      <c r="C25">
        <v>9000</v>
      </c>
      <c r="D25">
        <v>900</v>
      </c>
      <c r="E25">
        <v>4700</v>
      </c>
      <c r="F25">
        <v>2600</v>
      </c>
      <c r="H25">
        <f t="shared" si="0"/>
        <v>8100</v>
      </c>
      <c r="I25">
        <f t="shared" si="1"/>
        <v>7460</v>
      </c>
      <c r="J25">
        <v>1</v>
      </c>
    </row>
  </sheetData>
  <mergeCells count="2">
    <mergeCell ref="A1:F1"/>
    <mergeCell ref="G1:J1"/>
  </mergeCells>
  <pageMargins left="0.7" right="0.7" top="0.75" bottom="0.75" header="0.3" footer="0.3"/>
  <pageSetup paperSize="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
  <sheetViews>
    <sheetView tabSelected="1" workbookViewId="0">
      <selection activeCell="D16" sqref="D16"/>
    </sheetView>
  </sheetViews>
  <sheetFormatPr defaultRowHeight="14.4" x14ac:dyDescent="0.3"/>
  <cols>
    <col min="1" max="1" width="19.44140625" customWidth="1"/>
    <col min="2" max="2" width="38" customWidth="1"/>
    <col min="3" max="3" width="41.88671875" customWidth="1"/>
    <col min="4" max="4" width="36.6640625" customWidth="1"/>
    <col min="5" max="5" width="25" customWidth="1"/>
    <col min="6" max="6" width="24.5546875" customWidth="1"/>
    <col min="7" max="7" width="24.6640625" customWidth="1"/>
  </cols>
  <sheetData>
    <row r="1" spans="1:7" ht="72" x14ac:dyDescent="0.35">
      <c r="A1" s="1" t="s">
        <v>0</v>
      </c>
      <c r="B1" s="16" t="s">
        <v>1</v>
      </c>
      <c r="C1" s="16" t="s">
        <v>2</v>
      </c>
      <c r="D1" s="17" t="s">
        <v>3</v>
      </c>
      <c r="E1" s="18" t="s">
        <v>4</v>
      </c>
      <c r="F1" s="18" t="s">
        <v>5</v>
      </c>
      <c r="G1" s="19" t="s">
        <v>6</v>
      </c>
    </row>
    <row r="2" spans="1:7" ht="84" customHeight="1" x14ac:dyDescent="0.3">
      <c r="A2" s="20">
        <v>1</v>
      </c>
      <c r="B2" s="3" t="s">
        <v>145</v>
      </c>
      <c r="C2" s="3" t="s">
        <v>146</v>
      </c>
      <c r="D2" s="3" t="s">
        <v>147</v>
      </c>
      <c r="G2" s="21"/>
    </row>
    <row r="3" spans="1:7" ht="167.4" customHeight="1" x14ac:dyDescent="0.3">
      <c r="A3" s="20">
        <v>2</v>
      </c>
      <c r="B3" s="3" t="s">
        <v>148</v>
      </c>
      <c r="C3" s="3" t="s">
        <v>149</v>
      </c>
      <c r="D3" s="3" t="s">
        <v>150</v>
      </c>
      <c r="G3" s="21"/>
    </row>
    <row r="4" spans="1:7" ht="149.4" customHeight="1" x14ac:dyDescent="0.3">
      <c r="A4" s="20">
        <v>3</v>
      </c>
      <c r="B4" s="3" t="s">
        <v>151</v>
      </c>
      <c r="C4" s="3" t="s">
        <v>152</v>
      </c>
      <c r="D4" s="3" t="s">
        <v>153</v>
      </c>
      <c r="G4" s="21"/>
    </row>
    <row r="5" spans="1:7" ht="180.6" customHeight="1" x14ac:dyDescent="0.3">
      <c r="A5" s="20">
        <v>4</v>
      </c>
      <c r="B5" s="3" t="s">
        <v>154</v>
      </c>
      <c r="C5" s="3" t="s">
        <v>152</v>
      </c>
      <c r="D5" s="22" t="s">
        <v>155</v>
      </c>
      <c r="G5" s="21"/>
    </row>
    <row r="6" spans="1:7" ht="85.8" customHeight="1" x14ac:dyDescent="0.3">
      <c r="A6" s="4">
        <v>5</v>
      </c>
      <c r="B6" s="3" t="s">
        <v>156</v>
      </c>
      <c r="C6" s="3" t="s">
        <v>158</v>
      </c>
      <c r="D6" s="3" t="s">
        <v>157</v>
      </c>
      <c r="G6" s="21"/>
    </row>
    <row r="7" spans="1:7" ht="87.6" customHeight="1" x14ac:dyDescent="0.3">
      <c r="A7" s="20">
        <v>6</v>
      </c>
      <c r="B7" s="3" t="s">
        <v>159</v>
      </c>
      <c r="C7" s="3" t="s">
        <v>158</v>
      </c>
      <c r="D7" s="3" t="s">
        <v>157</v>
      </c>
      <c r="G7" s="21"/>
    </row>
    <row r="8" spans="1:7" ht="112.8" customHeight="1" x14ac:dyDescent="0.3">
      <c r="A8" s="20">
        <v>7</v>
      </c>
      <c r="B8" s="3" t="s">
        <v>160</v>
      </c>
      <c r="C8" s="3" t="s">
        <v>158</v>
      </c>
      <c r="D8" s="3" t="s">
        <v>161</v>
      </c>
      <c r="G8" s="21"/>
    </row>
    <row r="9" spans="1:7" ht="213" customHeight="1" x14ac:dyDescent="0.3">
      <c r="A9" s="20">
        <v>8</v>
      </c>
      <c r="B9" s="3" t="s">
        <v>162</v>
      </c>
      <c r="C9" s="3" t="s">
        <v>158</v>
      </c>
      <c r="D9" s="3" t="s">
        <v>163</v>
      </c>
      <c r="G9" s="21"/>
    </row>
    <row r="10" spans="1:7" ht="210" customHeight="1" x14ac:dyDescent="0.3">
      <c r="A10" s="20">
        <v>9</v>
      </c>
      <c r="B10" s="3" t="s">
        <v>164</v>
      </c>
      <c r="C10" s="3" t="s">
        <v>158</v>
      </c>
      <c r="D10" s="3" t="s">
        <v>157</v>
      </c>
      <c r="G10" s="21"/>
    </row>
    <row r="11" spans="1:7" ht="207.6" customHeight="1" x14ac:dyDescent="0.3">
      <c r="A11" s="20">
        <v>10</v>
      </c>
      <c r="B11" s="3" t="s">
        <v>165</v>
      </c>
      <c r="C11" s="3" t="s">
        <v>158</v>
      </c>
      <c r="D11" s="22" t="s">
        <v>169</v>
      </c>
      <c r="G11" s="21"/>
    </row>
    <row r="12" spans="1:7" ht="209.4" customHeight="1" x14ac:dyDescent="0.3">
      <c r="A12" s="20">
        <v>11</v>
      </c>
      <c r="B12" s="3" t="s">
        <v>166</v>
      </c>
      <c r="C12" s="3" t="s">
        <v>158</v>
      </c>
      <c r="D12" s="22" t="s">
        <v>169</v>
      </c>
      <c r="G12" s="21"/>
    </row>
    <row r="13" spans="1:7" ht="178.2" customHeight="1" x14ac:dyDescent="0.3">
      <c r="A13" s="20">
        <v>12</v>
      </c>
      <c r="B13" s="3" t="s">
        <v>167</v>
      </c>
      <c r="C13" s="3" t="s">
        <v>158</v>
      </c>
      <c r="D13" s="22" t="s">
        <v>170</v>
      </c>
      <c r="G13" s="21"/>
    </row>
    <row r="14" spans="1:7" ht="214.8" customHeight="1" x14ac:dyDescent="0.3">
      <c r="A14" s="20">
        <v>13</v>
      </c>
      <c r="B14" s="3" t="s">
        <v>168</v>
      </c>
      <c r="C14" s="3" t="s">
        <v>158</v>
      </c>
      <c r="D14" s="22" t="s">
        <v>171</v>
      </c>
      <c r="G14" s="21"/>
    </row>
    <row r="15" spans="1:7" ht="209.4" customHeight="1" x14ac:dyDescent="0.3">
      <c r="A15" s="20">
        <v>14</v>
      </c>
      <c r="B15" s="3" t="s">
        <v>172</v>
      </c>
      <c r="C15" s="3" t="s">
        <v>158</v>
      </c>
      <c r="D15" s="22" t="s">
        <v>171</v>
      </c>
      <c r="G15" s="21"/>
    </row>
    <row r="16" spans="1:7" ht="206.4" customHeight="1" x14ac:dyDescent="0.3">
      <c r="A16" s="20">
        <v>15</v>
      </c>
      <c r="B16" s="3" t="s">
        <v>173</v>
      </c>
      <c r="C16" s="3" t="s">
        <v>158</v>
      </c>
      <c r="D16" s="22" t="s">
        <v>171</v>
      </c>
      <c r="G16" s="2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Diff_pressure_Test_Plan</vt:lpstr>
      <vt:lpstr>instanious-weight_Test plan</vt:lpstr>
      <vt:lpstr>Exp_Diff_press_Calc</vt:lpstr>
      <vt:lpstr>Exp_Instan.weight_calc</vt:lpstr>
      <vt:lpstr>Zero Adjust Test plan</vt:lpstr>
    </vt:vector>
  </TitlesOfParts>
  <Company>Caterpillar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Kathiravan Paneer selvam;Melvin P Maria  Sebastian</dc:creator>
  <cp:lastModifiedBy>Kavya Gorrepati</cp:lastModifiedBy>
  <dcterms:created xsi:type="dcterms:W3CDTF">2016-02-19T04:34:09Z</dcterms:created>
  <dcterms:modified xsi:type="dcterms:W3CDTF">2016-08-26T13:29:07Z</dcterms:modified>
</cp:coreProperties>
</file>